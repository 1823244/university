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БГТУ\ТПР\Лабораторные работы\06\"/>
    </mc:Choice>
  </mc:AlternateContent>
  <bookViews>
    <workbookView xWindow="0" yWindow="0" windowWidth="20490" windowHeight="775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1" l="1"/>
  <c r="C51" i="1"/>
  <c r="D51" i="1"/>
  <c r="E51" i="1"/>
  <c r="F51" i="1"/>
  <c r="G51" i="1"/>
  <c r="H51" i="1"/>
  <c r="I51" i="1"/>
  <c r="J51" i="1"/>
  <c r="K51" i="1"/>
  <c r="L51" i="1"/>
  <c r="B52" i="1"/>
  <c r="C52" i="1"/>
  <c r="D52" i="1"/>
  <c r="E52" i="1"/>
  <c r="F52" i="1"/>
  <c r="G52" i="1"/>
  <c r="H52" i="1"/>
  <c r="I52" i="1"/>
  <c r="J52" i="1"/>
  <c r="K52" i="1"/>
  <c r="L52" i="1"/>
  <c r="L53" i="1"/>
  <c r="B54" i="1"/>
  <c r="C54" i="1"/>
  <c r="D54" i="1"/>
  <c r="E54" i="1"/>
  <c r="F54" i="1"/>
  <c r="G54" i="1"/>
  <c r="H54" i="1"/>
  <c r="I54" i="1"/>
  <c r="J54" i="1"/>
  <c r="K54" i="1"/>
  <c r="L54" i="1"/>
  <c r="C50" i="1"/>
  <c r="D50" i="1"/>
  <c r="E50" i="1"/>
  <c r="F50" i="1"/>
  <c r="G50" i="1"/>
  <c r="H50" i="1"/>
  <c r="I50" i="1"/>
  <c r="J50" i="1"/>
  <c r="K50" i="1"/>
  <c r="L50" i="1"/>
  <c r="B50" i="1"/>
  <c r="M51" i="1"/>
  <c r="M52" i="1"/>
  <c r="M54" i="1"/>
  <c r="M53" i="1"/>
  <c r="M50" i="1"/>
  <c r="K44" i="1" l="1"/>
  <c r="H40" i="1"/>
  <c r="I40" i="1"/>
  <c r="J40" i="1"/>
  <c r="K40" i="1"/>
  <c r="L39" i="1"/>
  <c r="C39" i="1"/>
  <c r="D39" i="1"/>
  <c r="E39" i="1"/>
  <c r="F39" i="1"/>
  <c r="G39" i="1"/>
  <c r="H39" i="1"/>
  <c r="I39" i="1"/>
  <c r="J39" i="1"/>
  <c r="K39" i="1"/>
  <c r="B39" i="1"/>
  <c r="I37" i="1"/>
  <c r="H37" i="1"/>
  <c r="G37" i="1"/>
  <c r="E37" i="1"/>
  <c r="F37" i="1"/>
  <c r="D37" i="1"/>
  <c r="E36" i="1"/>
  <c r="D36" i="1"/>
  <c r="F35" i="1"/>
  <c r="G35" i="1"/>
  <c r="D35" i="1"/>
  <c r="E35" i="1"/>
  <c r="F34" i="1"/>
  <c r="E34" i="1"/>
  <c r="D34" i="1"/>
  <c r="C34" i="1"/>
  <c r="C35" i="1"/>
  <c r="C36" i="1"/>
  <c r="C37" i="1"/>
  <c r="G33" i="1"/>
  <c r="F33" i="1"/>
  <c r="D33" i="1"/>
  <c r="E33" i="1"/>
  <c r="C33" i="1"/>
  <c r="D32" i="1"/>
  <c r="E32" i="1"/>
  <c r="F32" i="1"/>
  <c r="G32" i="1"/>
  <c r="H32" i="1"/>
  <c r="I32" i="1"/>
  <c r="J32" i="1"/>
  <c r="K32" i="1"/>
  <c r="C32" i="1"/>
  <c r="H23" i="1"/>
  <c r="D23" i="1"/>
  <c r="E23" i="1"/>
  <c r="F23" i="1"/>
  <c r="G23" i="1"/>
  <c r="I22" i="1"/>
  <c r="J22" i="1"/>
  <c r="H22" i="1"/>
  <c r="D22" i="1"/>
  <c r="E22" i="1"/>
  <c r="F22" i="1"/>
  <c r="G22" i="1"/>
  <c r="I21" i="1"/>
  <c r="G21" i="1"/>
  <c r="H21" i="1"/>
  <c r="D21" i="1"/>
  <c r="E21" i="1"/>
  <c r="F21" i="1"/>
  <c r="E20" i="1"/>
  <c r="F20" i="1"/>
  <c r="G20" i="1"/>
  <c r="H20" i="1"/>
  <c r="I20" i="1"/>
  <c r="J20" i="1"/>
  <c r="D20" i="1"/>
  <c r="C20" i="1"/>
  <c r="C21" i="1"/>
  <c r="C22" i="1"/>
  <c r="C23" i="1"/>
  <c r="C19" i="1"/>
  <c r="F19" i="1"/>
  <c r="G19" i="1"/>
  <c r="D19" i="1"/>
  <c r="E19" i="1"/>
  <c r="D18" i="1"/>
  <c r="E18" i="1"/>
  <c r="F18" i="1"/>
  <c r="G18" i="1"/>
  <c r="H18" i="1"/>
  <c r="I18" i="1"/>
  <c r="J18" i="1"/>
  <c r="K18" i="1"/>
  <c r="C18" i="1"/>
  <c r="E3" i="1" l="1"/>
</calcChain>
</file>

<file path=xl/sharedStrings.xml><?xml version="1.0" encoding="utf-8"?>
<sst xmlns="http://schemas.openxmlformats.org/spreadsheetml/2006/main" count="50" uniqueCount="25">
  <si>
    <t>Название</t>
  </si>
  <si>
    <t>Apple iPhone 4S 8Gb</t>
  </si>
  <si>
    <t>Xiaomi Mi4 16Gb</t>
  </si>
  <si>
    <t>Meizu MX4 16Gb</t>
  </si>
  <si>
    <t>OnePlus One 16Gb</t>
  </si>
  <si>
    <t>ASUS Zenfone 5 16Gb</t>
  </si>
  <si>
    <t>Цена, рубли</t>
  </si>
  <si>
    <t>Диагональ, дюймы</t>
  </si>
  <si>
    <t>Частота процессора, МГц</t>
  </si>
  <si>
    <t>Объём оперативной памяти, МБ</t>
  </si>
  <si>
    <t>Ёмкость аккумулятора, мА*ч</t>
  </si>
  <si>
    <t>Разрешение, пкс в высоту</t>
  </si>
  <si>
    <t>D</t>
  </si>
  <si>
    <t>Преобразование импликаций</t>
  </si>
  <si>
    <t>D1</t>
  </si>
  <si>
    <t>u1</t>
  </si>
  <si>
    <t>u2</t>
  </si>
  <si>
    <t>u3</t>
  </si>
  <si>
    <t>u4</t>
  </si>
  <si>
    <t>u5</t>
  </si>
  <si>
    <t>D2</t>
  </si>
  <si>
    <t>D3</t>
  </si>
  <si>
    <t>D4</t>
  </si>
  <si>
    <t>D5</t>
  </si>
  <si>
    <t>Определение обобщённой цели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</si>
</sst>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\ _₽"/>
    <numFmt numFmtId="168" formatCode="0.0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164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164" fontId="0" fillId="0" borderId="8" xfId="0" applyNumberFormat="1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 applyAlignment="1">
      <alignment horizontal="left" wrapText="1"/>
    </xf>
    <xf numFmtId="0" fontId="1" fillId="0" borderId="0" xfId="0" applyFont="1" applyBorder="1" applyAlignment="1">
      <alignment horizontal="center" wrapText="1"/>
    </xf>
    <xf numFmtId="0" fontId="0" fillId="0" borderId="0" xfId="0" applyBorder="1" applyAlignment="1">
      <alignment wrapText="1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wrapText="1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1" fillId="0" borderId="0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168" fontId="1" fillId="0" borderId="1" xfId="0" applyNumberFormat="1" applyFont="1" applyBorder="1" applyAlignment="1">
      <alignment horizontal="left" wrapText="1"/>
    </xf>
    <xf numFmtId="168" fontId="0" fillId="0" borderId="1" xfId="0" applyNumberFormat="1" applyBorder="1" applyAlignment="1">
      <alignment horizontal="left" wrapText="1"/>
    </xf>
    <xf numFmtId="168" fontId="1" fillId="0" borderId="0" xfId="0" applyNumberFormat="1" applyFont="1" applyBorder="1" applyAlignment="1">
      <alignment horizontal="left" wrapText="1"/>
    </xf>
    <xf numFmtId="0" fontId="0" fillId="0" borderId="10" xfId="0" applyFill="1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186"/>
  <sheetViews>
    <sheetView tabSelected="1" topLeftCell="A46" zoomScaleNormal="100" workbookViewId="0">
      <selection activeCell="B53" sqref="B53:K53"/>
    </sheetView>
  </sheetViews>
  <sheetFormatPr defaultRowHeight="15" x14ac:dyDescent="0.25"/>
  <cols>
    <col min="1" max="1" width="20.7109375" customWidth="1"/>
    <col min="2" max="2" width="12.140625" customWidth="1"/>
    <col min="3" max="3" width="11.28515625" customWidth="1"/>
    <col min="4" max="4" width="14.42578125" customWidth="1"/>
    <col min="5" max="5" width="16.42578125" customWidth="1"/>
    <col min="6" max="6" width="16.140625" customWidth="1"/>
    <col min="7" max="7" width="14.28515625" customWidth="1"/>
    <col min="8" max="8" width="14" customWidth="1"/>
    <col min="9" max="11" width="10.5703125" bestFit="1" customWidth="1"/>
  </cols>
  <sheetData>
    <row r="1" spans="1:12" ht="45" x14ac:dyDescent="0.25">
      <c r="A1" s="5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7" t="s">
        <v>11</v>
      </c>
      <c r="I1" s="1"/>
      <c r="J1" s="1"/>
      <c r="K1" s="1"/>
      <c r="L1" s="1"/>
    </row>
    <row r="2" spans="1:12" x14ac:dyDescent="0.25">
      <c r="A2" s="8" t="s">
        <v>1</v>
      </c>
      <c r="B2" s="3">
        <v>16500</v>
      </c>
      <c r="C2" s="4">
        <v>3.5</v>
      </c>
      <c r="D2" s="4">
        <v>800</v>
      </c>
      <c r="E2" s="4">
        <v>512</v>
      </c>
      <c r="F2" s="4">
        <v>1420</v>
      </c>
      <c r="G2" s="9">
        <v>960</v>
      </c>
      <c r="H2" s="2"/>
      <c r="I2" s="1"/>
      <c r="J2" s="1"/>
      <c r="K2" s="1"/>
      <c r="L2" s="1"/>
    </row>
    <row r="3" spans="1:12" x14ac:dyDescent="0.25">
      <c r="A3" s="8" t="s">
        <v>2</v>
      </c>
      <c r="B3" s="3">
        <v>17800</v>
      </c>
      <c r="C3" s="4">
        <v>5</v>
      </c>
      <c r="D3" s="4">
        <v>2500</v>
      </c>
      <c r="E3" s="4">
        <f>1024*3</f>
        <v>3072</v>
      </c>
      <c r="F3" s="4">
        <v>3080</v>
      </c>
      <c r="G3" s="9">
        <v>1920</v>
      </c>
      <c r="H3" s="2"/>
      <c r="I3" s="1"/>
      <c r="J3" s="1"/>
      <c r="K3" s="1"/>
      <c r="L3" s="1"/>
    </row>
    <row r="4" spans="1:12" x14ac:dyDescent="0.25">
      <c r="A4" s="8" t="s">
        <v>3</v>
      </c>
      <c r="B4" s="3">
        <v>15600</v>
      </c>
      <c r="C4" s="4">
        <v>5.36</v>
      </c>
      <c r="D4" s="4">
        <v>2200</v>
      </c>
      <c r="E4" s="4">
        <v>2048</v>
      </c>
      <c r="F4" s="4">
        <v>3100</v>
      </c>
      <c r="G4" s="9">
        <v>1920</v>
      </c>
      <c r="H4" s="2"/>
      <c r="I4" s="1"/>
      <c r="J4" s="1"/>
      <c r="K4" s="1"/>
      <c r="L4" s="1"/>
    </row>
    <row r="5" spans="1:12" x14ac:dyDescent="0.25">
      <c r="A5" s="8" t="s">
        <v>4</v>
      </c>
      <c r="B5" s="3">
        <v>18200</v>
      </c>
      <c r="C5" s="4">
        <v>5.5</v>
      </c>
      <c r="D5" s="4">
        <v>2500</v>
      </c>
      <c r="E5" s="4">
        <v>3072</v>
      </c>
      <c r="F5" s="4">
        <v>3100</v>
      </c>
      <c r="G5" s="9">
        <v>1920</v>
      </c>
      <c r="H5" s="2"/>
      <c r="I5" s="1"/>
      <c r="J5" s="1"/>
      <c r="K5" s="1"/>
      <c r="L5" s="1"/>
    </row>
    <row r="6" spans="1:12" ht="15.75" thickBot="1" x14ac:dyDescent="0.3">
      <c r="A6" s="10" t="s">
        <v>5</v>
      </c>
      <c r="B6" s="11">
        <v>10100</v>
      </c>
      <c r="C6" s="12">
        <v>5</v>
      </c>
      <c r="D6" s="12">
        <v>1600</v>
      </c>
      <c r="E6" s="12">
        <v>2048</v>
      </c>
      <c r="F6" s="12">
        <v>2110</v>
      </c>
      <c r="G6" s="13">
        <v>1280</v>
      </c>
      <c r="H6" s="2"/>
      <c r="I6" s="1"/>
      <c r="J6" s="1"/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5" t="s">
        <v>13</v>
      </c>
      <c r="B9" s="15"/>
      <c r="C9" s="15"/>
      <c r="D9" s="15"/>
      <c r="E9" s="15"/>
      <c r="F9" s="15"/>
      <c r="G9" s="15"/>
      <c r="H9" s="16"/>
      <c r="I9" s="16"/>
      <c r="J9" s="16"/>
      <c r="K9" s="16"/>
      <c r="L9" s="16"/>
    </row>
    <row r="10" spans="1:12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</row>
    <row r="11" spans="1:12" x14ac:dyDescent="0.25">
      <c r="A11" s="26" t="s">
        <v>14</v>
      </c>
      <c r="B11" s="26">
        <v>0</v>
      </c>
      <c r="C11" s="26">
        <v>0.1</v>
      </c>
      <c r="D11" s="26">
        <v>0.2</v>
      </c>
      <c r="E11" s="26">
        <v>0.3</v>
      </c>
      <c r="F11" s="26">
        <v>0.4</v>
      </c>
      <c r="G11" s="26">
        <v>0.5</v>
      </c>
      <c r="H11" s="26">
        <v>0.6</v>
      </c>
      <c r="I11" s="26">
        <v>0.7</v>
      </c>
      <c r="J11" s="26">
        <v>0.8</v>
      </c>
      <c r="K11" s="26">
        <v>0.9</v>
      </c>
      <c r="L11" s="26">
        <v>1</v>
      </c>
    </row>
    <row r="12" spans="1:12" x14ac:dyDescent="0.25">
      <c r="A12" s="26" t="s">
        <v>15</v>
      </c>
      <c r="B12" s="14">
        <v>0.75</v>
      </c>
      <c r="C12" s="14">
        <v>0.85</v>
      </c>
      <c r="D12" s="14">
        <v>0.95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</v>
      </c>
    </row>
    <row r="13" spans="1:12" x14ac:dyDescent="0.25">
      <c r="A13" s="26" t="s">
        <v>16</v>
      </c>
      <c r="B13" s="14">
        <v>0.8</v>
      </c>
      <c r="C13" s="14">
        <v>0.9</v>
      </c>
      <c r="D13" s="14">
        <v>1</v>
      </c>
      <c r="E13" s="14">
        <v>1</v>
      </c>
      <c r="F13" s="14">
        <v>1</v>
      </c>
      <c r="G13" s="14">
        <v>1</v>
      </c>
      <c r="H13" s="14">
        <v>1</v>
      </c>
      <c r="I13" s="14">
        <v>1</v>
      </c>
      <c r="J13" s="14">
        <v>1</v>
      </c>
      <c r="K13" s="14">
        <v>1</v>
      </c>
      <c r="L13" s="14">
        <v>1</v>
      </c>
    </row>
    <row r="14" spans="1:12" x14ac:dyDescent="0.25">
      <c r="A14" s="26" t="s">
        <v>17</v>
      </c>
      <c r="B14" s="14">
        <v>0.7</v>
      </c>
      <c r="C14" s="14">
        <v>0.8</v>
      </c>
      <c r="D14" s="14">
        <v>0.9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</v>
      </c>
    </row>
    <row r="15" spans="1:12" x14ac:dyDescent="0.25">
      <c r="A15" s="26" t="s">
        <v>18</v>
      </c>
      <c r="B15" s="14">
        <v>0.85</v>
      </c>
      <c r="C15" s="14">
        <v>0.95</v>
      </c>
      <c r="D15" s="14">
        <v>1</v>
      </c>
      <c r="E15" s="14">
        <v>1</v>
      </c>
      <c r="F15" s="14">
        <v>1</v>
      </c>
      <c r="G15" s="14">
        <v>1</v>
      </c>
      <c r="H15" s="14">
        <v>1</v>
      </c>
      <c r="I15" s="14">
        <v>1</v>
      </c>
      <c r="J15" s="14">
        <v>1</v>
      </c>
      <c r="K15" s="14">
        <v>1</v>
      </c>
      <c r="L15" s="14">
        <v>1</v>
      </c>
    </row>
    <row r="16" spans="1:12" x14ac:dyDescent="0.25">
      <c r="A16" s="26" t="s">
        <v>19</v>
      </c>
      <c r="B16" s="14">
        <v>0.5</v>
      </c>
      <c r="C16" s="14">
        <v>0.6</v>
      </c>
      <c r="D16" s="14">
        <v>0.7</v>
      </c>
      <c r="E16" s="14">
        <v>0.8</v>
      </c>
      <c r="F16" s="14">
        <v>0.9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</row>
    <row r="17" spans="1:12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</row>
    <row r="18" spans="1:12" x14ac:dyDescent="0.25">
      <c r="A18" s="26" t="s">
        <v>20</v>
      </c>
      <c r="B18" s="26">
        <v>0</v>
      </c>
      <c r="C18" s="27">
        <f>SQRT(C11^3)</f>
        <v>3.1622776601683798E-2</v>
      </c>
      <c r="D18" s="27">
        <f t="shared" ref="D18:K18" si="0">SQRT(D11^3)</f>
        <v>8.9442719099991602E-2</v>
      </c>
      <c r="E18" s="27">
        <f t="shared" si="0"/>
        <v>0.16431676725154984</v>
      </c>
      <c r="F18" s="27">
        <f t="shared" si="0"/>
        <v>0.25298221281347039</v>
      </c>
      <c r="G18" s="27">
        <f t="shared" si="0"/>
        <v>0.35355339059327379</v>
      </c>
      <c r="H18" s="27">
        <f t="shared" si="0"/>
        <v>0.46475800154489</v>
      </c>
      <c r="I18" s="27">
        <f t="shared" si="0"/>
        <v>0.58566201857385281</v>
      </c>
      <c r="J18" s="27">
        <f t="shared" si="0"/>
        <v>0.71554175279993282</v>
      </c>
      <c r="K18" s="27">
        <f t="shared" si="0"/>
        <v>0.85381496824546244</v>
      </c>
      <c r="L18" s="26">
        <v>1</v>
      </c>
    </row>
    <row r="19" spans="1:12" x14ac:dyDescent="0.25">
      <c r="A19" s="26" t="s">
        <v>15</v>
      </c>
      <c r="B19" s="14">
        <v>0.6</v>
      </c>
      <c r="C19" s="28">
        <f>$B19+C$18</f>
        <v>0.63162277660168376</v>
      </c>
      <c r="D19" s="28">
        <f t="shared" ref="D19:E19" si="1">$B$19+D18</f>
        <v>0.68944271909999155</v>
      </c>
      <c r="E19" s="28">
        <f t="shared" si="1"/>
        <v>0.76431676725154984</v>
      </c>
      <c r="F19" s="28">
        <f>$B$19+F18</f>
        <v>0.85298221281347031</v>
      </c>
      <c r="G19" s="28">
        <f t="shared" ref="G19" si="2">$B$19+G18</f>
        <v>0.95355339059327382</v>
      </c>
      <c r="H19" s="14">
        <v>1</v>
      </c>
      <c r="I19" s="14">
        <v>1</v>
      </c>
      <c r="J19" s="14">
        <v>1</v>
      </c>
      <c r="K19" s="14">
        <v>1</v>
      </c>
      <c r="L19" s="14">
        <v>1</v>
      </c>
    </row>
    <row r="20" spans="1:12" x14ac:dyDescent="0.25">
      <c r="A20" s="26" t="s">
        <v>16</v>
      </c>
      <c r="B20" s="14">
        <v>0.2</v>
      </c>
      <c r="C20" s="28">
        <f t="shared" ref="C20:K23" si="3">$B20+C$18</f>
        <v>0.23162277660168382</v>
      </c>
      <c r="D20" s="28">
        <f t="shared" si="3"/>
        <v>0.28944271909999164</v>
      </c>
      <c r="E20" s="28">
        <f t="shared" si="3"/>
        <v>0.36431676725154982</v>
      </c>
      <c r="F20" s="28">
        <f t="shared" si="3"/>
        <v>0.4529822128134704</v>
      </c>
      <c r="G20" s="28">
        <f t="shared" si="3"/>
        <v>0.5535533905932738</v>
      </c>
      <c r="H20" s="28">
        <f t="shared" si="3"/>
        <v>0.66475800154488995</v>
      </c>
      <c r="I20" s="28">
        <f t="shared" si="3"/>
        <v>0.78566201857385276</v>
      </c>
      <c r="J20" s="28">
        <f t="shared" si="3"/>
        <v>0.91554175279993277</v>
      </c>
      <c r="K20" s="14">
        <v>1</v>
      </c>
      <c r="L20" s="14">
        <v>1</v>
      </c>
    </row>
    <row r="21" spans="1:12" x14ac:dyDescent="0.25">
      <c r="A21" s="26" t="s">
        <v>17</v>
      </c>
      <c r="B21" s="14">
        <v>0.3</v>
      </c>
      <c r="C21" s="28">
        <f t="shared" si="3"/>
        <v>0.33162277660168377</v>
      </c>
      <c r="D21" s="28">
        <f t="shared" si="3"/>
        <v>0.38944271909999162</v>
      </c>
      <c r="E21" s="28">
        <f t="shared" si="3"/>
        <v>0.4643167672515498</v>
      </c>
      <c r="F21" s="28">
        <f t="shared" si="3"/>
        <v>0.55298221281347038</v>
      </c>
      <c r="G21" s="28">
        <f t="shared" si="3"/>
        <v>0.65355339059327378</v>
      </c>
      <c r="H21" s="28">
        <f t="shared" si="3"/>
        <v>0.76475800154489004</v>
      </c>
      <c r="I21" s="28">
        <f t="shared" si="3"/>
        <v>0.88566201857385285</v>
      </c>
      <c r="J21" s="14">
        <v>1</v>
      </c>
      <c r="K21" s="14">
        <v>1</v>
      </c>
      <c r="L21" s="14">
        <v>1</v>
      </c>
    </row>
    <row r="22" spans="1:12" x14ac:dyDescent="0.25">
      <c r="A22" s="26" t="s">
        <v>18</v>
      </c>
      <c r="B22" s="14">
        <v>0.2</v>
      </c>
      <c r="C22" s="28">
        <f t="shared" si="3"/>
        <v>0.23162277660168382</v>
      </c>
      <c r="D22" s="28">
        <f t="shared" si="3"/>
        <v>0.28944271909999164</v>
      </c>
      <c r="E22" s="28">
        <f t="shared" si="3"/>
        <v>0.36431676725154982</v>
      </c>
      <c r="F22" s="28">
        <f t="shared" si="3"/>
        <v>0.4529822128134704</v>
      </c>
      <c r="G22" s="28">
        <f t="shared" si="3"/>
        <v>0.5535533905932738</v>
      </c>
      <c r="H22" s="28">
        <f t="shared" si="3"/>
        <v>0.66475800154488995</v>
      </c>
      <c r="I22" s="28">
        <f t="shared" si="3"/>
        <v>0.78566201857385276</v>
      </c>
      <c r="J22" s="28">
        <f t="shared" si="3"/>
        <v>0.91554175279993277</v>
      </c>
      <c r="K22" s="14">
        <v>1</v>
      </c>
      <c r="L22" s="14">
        <v>1</v>
      </c>
    </row>
    <row r="23" spans="1:12" x14ac:dyDescent="0.25">
      <c r="A23" s="26" t="s">
        <v>19</v>
      </c>
      <c r="B23" s="14">
        <v>0.45</v>
      </c>
      <c r="C23" s="28">
        <f t="shared" si="3"/>
        <v>0.48162277660168379</v>
      </c>
      <c r="D23" s="28">
        <f t="shared" si="3"/>
        <v>0.53944271909999164</v>
      </c>
      <c r="E23" s="28">
        <f t="shared" si="3"/>
        <v>0.61431676725154982</v>
      </c>
      <c r="F23" s="28">
        <f t="shared" si="3"/>
        <v>0.7029822128134704</v>
      </c>
      <c r="G23" s="28">
        <f t="shared" si="3"/>
        <v>0.8035533905932738</v>
      </c>
      <c r="H23" s="28">
        <f t="shared" si="3"/>
        <v>0.91475800154488995</v>
      </c>
      <c r="I23" s="14">
        <v>1</v>
      </c>
      <c r="J23" s="14">
        <v>1</v>
      </c>
      <c r="K23" s="14">
        <v>1</v>
      </c>
      <c r="L23" s="14">
        <v>1</v>
      </c>
    </row>
    <row r="24" spans="1:12" x14ac:dyDescent="0.25">
      <c r="A24" s="19"/>
      <c r="B24" s="20"/>
      <c r="C24" s="20"/>
      <c r="D24" s="20"/>
      <c r="E24" s="20"/>
      <c r="F24" s="20"/>
      <c r="G24" s="20"/>
      <c r="H24" s="21"/>
      <c r="I24" s="18"/>
      <c r="J24" s="18"/>
      <c r="K24" s="18"/>
      <c r="L24" s="18"/>
    </row>
    <row r="25" spans="1:12" x14ac:dyDescent="0.25">
      <c r="A25" s="26" t="s">
        <v>21</v>
      </c>
      <c r="B25" s="26">
        <v>0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1</v>
      </c>
    </row>
    <row r="26" spans="1:12" x14ac:dyDescent="0.25">
      <c r="A26" s="26" t="s">
        <v>15</v>
      </c>
      <c r="B26" s="14">
        <v>0.6</v>
      </c>
      <c r="C26" s="14">
        <v>0.6</v>
      </c>
      <c r="D26" s="14">
        <v>0.6</v>
      </c>
      <c r="E26" s="14">
        <v>0.6</v>
      </c>
      <c r="F26" s="14">
        <v>0.6</v>
      </c>
      <c r="G26" s="14">
        <v>0.6</v>
      </c>
      <c r="H26" s="14">
        <v>0.6</v>
      </c>
      <c r="I26" s="14">
        <v>0.6</v>
      </c>
      <c r="J26" s="14">
        <v>0.6</v>
      </c>
      <c r="K26" s="14">
        <v>0.6</v>
      </c>
      <c r="L26" s="14">
        <v>1</v>
      </c>
    </row>
    <row r="27" spans="1:12" x14ac:dyDescent="0.25">
      <c r="A27" s="26" t="s">
        <v>16</v>
      </c>
      <c r="B27" s="14">
        <v>0.2</v>
      </c>
      <c r="C27" s="14">
        <v>0.2</v>
      </c>
      <c r="D27" s="14">
        <v>0.2</v>
      </c>
      <c r="E27" s="14">
        <v>0.2</v>
      </c>
      <c r="F27" s="14">
        <v>0.2</v>
      </c>
      <c r="G27" s="14">
        <v>0.2</v>
      </c>
      <c r="H27" s="14">
        <v>0.2</v>
      </c>
      <c r="I27" s="14">
        <v>0.2</v>
      </c>
      <c r="J27" s="14">
        <v>0.2</v>
      </c>
      <c r="K27" s="14">
        <v>0.2</v>
      </c>
      <c r="L27" s="14">
        <v>1</v>
      </c>
    </row>
    <row r="28" spans="1:12" x14ac:dyDescent="0.25">
      <c r="A28" s="26" t="s">
        <v>17</v>
      </c>
      <c r="B28" s="14">
        <v>0.3</v>
      </c>
      <c r="C28" s="14">
        <v>0.3</v>
      </c>
      <c r="D28" s="14">
        <v>0.3</v>
      </c>
      <c r="E28" s="14">
        <v>0.3</v>
      </c>
      <c r="F28" s="14">
        <v>0.3</v>
      </c>
      <c r="G28" s="14">
        <v>0.3</v>
      </c>
      <c r="H28" s="14">
        <v>0.3</v>
      </c>
      <c r="I28" s="14">
        <v>0.3</v>
      </c>
      <c r="J28" s="14">
        <v>0.3</v>
      </c>
      <c r="K28" s="14">
        <v>0.3</v>
      </c>
      <c r="L28" s="14">
        <v>1</v>
      </c>
    </row>
    <row r="29" spans="1:12" x14ac:dyDescent="0.25">
      <c r="A29" s="26" t="s">
        <v>18</v>
      </c>
      <c r="B29" s="14">
        <v>0.2</v>
      </c>
      <c r="C29" s="14">
        <v>0.2</v>
      </c>
      <c r="D29" s="14">
        <v>0.2</v>
      </c>
      <c r="E29" s="14">
        <v>0.2</v>
      </c>
      <c r="F29" s="14">
        <v>0.2</v>
      </c>
      <c r="G29" s="14">
        <v>0.2</v>
      </c>
      <c r="H29" s="14">
        <v>0.2</v>
      </c>
      <c r="I29" s="14">
        <v>0.2</v>
      </c>
      <c r="J29" s="14">
        <v>0.2</v>
      </c>
      <c r="K29" s="14">
        <v>0.2</v>
      </c>
      <c r="L29" s="14">
        <v>1</v>
      </c>
    </row>
    <row r="30" spans="1:12" x14ac:dyDescent="0.25">
      <c r="A30" s="26" t="s">
        <v>19</v>
      </c>
      <c r="B30" s="14">
        <v>0.45</v>
      </c>
      <c r="C30" s="14">
        <v>0.45</v>
      </c>
      <c r="D30" s="14">
        <v>0.45</v>
      </c>
      <c r="E30" s="14">
        <v>0.45</v>
      </c>
      <c r="F30" s="14">
        <v>0.45</v>
      </c>
      <c r="G30" s="14">
        <v>0.45</v>
      </c>
      <c r="H30" s="14">
        <v>0.45</v>
      </c>
      <c r="I30" s="14">
        <v>0.45</v>
      </c>
      <c r="J30" s="14">
        <v>0.45</v>
      </c>
      <c r="K30" s="14">
        <v>0.45</v>
      </c>
      <c r="L30" s="14">
        <v>1</v>
      </c>
    </row>
    <row r="31" spans="1:12" x14ac:dyDescent="0.25">
      <c r="A31" s="22"/>
      <c r="B31" s="22"/>
      <c r="C31" s="22"/>
      <c r="D31" s="22"/>
      <c r="E31" s="22"/>
      <c r="F31" s="22"/>
      <c r="G31" s="18"/>
      <c r="H31" s="18"/>
      <c r="I31" s="18"/>
      <c r="J31" s="18"/>
      <c r="K31" s="18"/>
      <c r="L31" s="18"/>
    </row>
    <row r="32" spans="1:12" x14ac:dyDescent="0.25">
      <c r="A32" s="26" t="s">
        <v>22</v>
      </c>
      <c r="B32" s="26">
        <v>0</v>
      </c>
      <c r="C32" s="26">
        <f>C11^2</f>
        <v>1.0000000000000002E-2</v>
      </c>
      <c r="D32" s="26">
        <f t="shared" ref="D32:K32" si="4">D11^2</f>
        <v>4.0000000000000008E-2</v>
      </c>
      <c r="E32" s="26">
        <f t="shared" si="4"/>
        <v>0.09</v>
      </c>
      <c r="F32" s="26">
        <f t="shared" si="4"/>
        <v>0.16000000000000003</v>
      </c>
      <c r="G32" s="26">
        <f t="shared" si="4"/>
        <v>0.25</v>
      </c>
      <c r="H32" s="26">
        <f t="shared" si="4"/>
        <v>0.36</v>
      </c>
      <c r="I32" s="26">
        <f t="shared" si="4"/>
        <v>0.48999999999999994</v>
      </c>
      <c r="J32" s="26">
        <f t="shared" si="4"/>
        <v>0.64000000000000012</v>
      </c>
      <c r="K32" s="26">
        <f t="shared" si="4"/>
        <v>0.81</v>
      </c>
      <c r="L32" s="26">
        <v>1</v>
      </c>
    </row>
    <row r="33" spans="1:12" x14ac:dyDescent="0.25">
      <c r="A33" s="26" t="s">
        <v>15</v>
      </c>
      <c r="B33" s="14">
        <v>0.75</v>
      </c>
      <c r="C33" s="14">
        <f>$B33+C$32</f>
        <v>0.76</v>
      </c>
      <c r="D33" s="14">
        <f t="shared" ref="D33:G33" si="5">$B33+D$32</f>
        <v>0.79</v>
      </c>
      <c r="E33" s="14">
        <f t="shared" si="5"/>
        <v>0.84</v>
      </c>
      <c r="F33" s="14">
        <f t="shared" si="5"/>
        <v>0.91</v>
      </c>
      <c r="G33" s="14">
        <f t="shared" si="5"/>
        <v>1</v>
      </c>
      <c r="H33" s="14">
        <v>1</v>
      </c>
      <c r="I33" s="14">
        <v>1</v>
      </c>
      <c r="J33" s="14">
        <v>1</v>
      </c>
      <c r="K33" s="14">
        <v>1</v>
      </c>
      <c r="L33" s="14">
        <v>1</v>
      </c>
    </row>
    <row r="34" spans="1:12" x14ac:dyDescent="0.25">
      <c r="A34" s="26" t="s">
        <v>16</v>
      </c>
      <c r="B34" s="14">
        <v>0.8</v>
      </c>
      <c r="C34" s="14">
        <f t="shared" ref="C34:I37" si="6">$B34+C$32</f>
        <v>0.81</v>
      </c>
      <c r="D34" s="14">
        <f t="shared" si="6"/>
        <v>0.84000000000000008</v>
      </c>
      <c r="E34" s="14">
        <f t="shared" si="6"/>
        <v>0.89</v>
      </c>
      <c r="F34" s="14">
        <f t="shared" si="6"/>
        <v>0.96000000000000008</v>
      </c>
      <c r="G34" s="14">
        <v>1</v>
      </c>
      <c r="H34" s="14">
        <v>1</v>
      </c>
      <c r="I34" s="14">
        <v>1</v>
      </c>
      <c r="J34" s="14">
        <v>1</v>
      </c>
      <c r="K34" s="14">
        <v>1</v>
      </c>
      <c r="L34" s="14">
        <v>1</v>
      </c>
    </row>
    <row r="35" spans="1:12" x14ac:dyDescent="0.25">
      <c r="A35" s="26" t="s">
        <v>17</v>
      </c>
      <c r="B35" s="14">
        <v>0.7</v>
      </c>
      <c r="C35" s="14">
        <f t="shared" si="6"/>
        <v>0.71</v>
      </c>
      <c r="D35" s="14">
        <f t="shared" si="6"/>
        <v>0.74</v>
      </c>
      <c r="E35" s="14">
        <f t="shared" si="6"/>
        <v>0.78999999999999992</v>
      </c>
      <c r="F35" s="14">
        <f t="shared" si="6"/>
        <v>0.86</v>
      </c>
      <c r="G35" s="14">
        <f t="shared" si="6"/>
        <v>0.95</v>
      </c>
      <c r="H35" s="14">
        <v>1</v>
      </c>
      <c r="I35" s="14">
        <v>1</v>
      </c>
      <c r="J35" s="14">
        <v>1</v>
      </c>
      <c r="K35" s="14">
        <v>1</v>
      </c>
      <c r="L35" s="14">
        <v>1</v>
      </c>
    </row>
    <row r="36" spans="1:12" x14ac:dyDescent="0.25">
      <c r="A36" s="26" t="s">
        <v>18</v>
      </c>
      <c r="B36" s="14">
        <v>0.85</v>
      </c>
      <c r="C36" s="14">
        <f t="shared" si="6"/>
        <v>0.86</v>
      </c>
      <c r="D36" s="14">
        <f t="shared" si="6"/>
        <v>0.89</v>
      </c>
      <c r="E36" s="14">
        <f t="shared" si="6"/>
        <v>0.94</v>
      </c>
      <c r="F36" s="14">
        <v>1</v>
      </c>
      <c r="G36" s="14">
        <v>1</v>
      </c>
      <c r="H36" s="14">
        <v>1</v>
      </c>
      <c r="I36" s="14">
        <v>1</v>
      </c>
      <c r="J36" s="14">
        <v>1</v>
      </c>
      <c r="K36" s="14">
        <v>1</v>
      </c>
      <c r="L36" s="14">
        <v>1</v>
      </c>
    </row>
    <row r="37" spans="1:12" x14ac:dyDescent="0.25">
      <c r="A37" s="26" t="s">
        <v>19</v>
      </c>
      <c r="B37" s="14">
        <v>0.5</v>
      </c>
      <c r="C37" s="14">
        <f t="shared" si="6"/>
        <v>0.51</v>
      </c>
      <c r="D37" s="14">
        <f t="shared" si="6"/>
        <v>0.54</v>
      </c>
      <c r="E37" s="14">
        <f t="shared" si="6"/>
        <v>0.59</v>
      </c>
      <c r="F37" s="14">
        <f t="shared" si="6"/>
        <v>0.66</v>
      </c>
      <c r="G37" s="14">
        <f t="shared" si="6"/>
        <v>0.75</v>
      </c>
      <c r="H37" s="14">
        <f t="shared" si="6"/>
        <v>0.86</v>
      </c>
      <c r="I37" s="14">
        <f t="shared" si="6"/>
        <v>0.99</v>
      </c>
      <c r="J37" s="14">
        <v>1</v>
      </c>
      <c r="K37" s="14">
        <v>1</v>
      </c>
      <c r="L37" s="14">
        <v>1</v>
      </c>
    </row>
    <row r="38" spans="1:12" x14ac:dyDescent="0.25">
      <c r="A38" s="21"/>
      <c r="B38" s="23"/>
      <c r="C38" s="21"/>
      <c r="D38" s="21"/>
      <c r="E38" s="21"/>
      <c r="F38" s="21"/>
      <c r="G38" s="18"/>
      <c r="H38" s="18"/>
      <c r="I38" s="18"/>
      <c r="J38" s="18"/>
      <c r="K38" s="18"/>
      <c r="L38" s="18"/>
    </row>
    <row r="39" spans="1:12" x14ac:dyDescent="0.25">
      <c r="A39" s="26" t="s">
        <v>23</v>
      </c>
      <c r="B39" s="26">
        <f>1-B11</f>
        <v>1</v>
      </c>
      <c r="C39" s="26">
        <f t="shared" ref="C39:K39" si="7">1-C11</f>
        <v>0.9</v>
      </c>
      <c r="D39" s="26">
        <f t="shared" si="7"/>
        <v>0.8</v>
      </c>
      <c r="E39" s="26">
        <f t="shared" si="7"/>
        <v>0.7</v>
      </c>
      <c r="F39" s="26">
        <f t="shared" si="7"/>
        <v>0.6</v>
      </c>
      <c r="G39" s="26">
        <f t="shared" si="7"/>
        <v>0.5</v>
      </c>
      <c r="H39" s="26">
        <f t="shared" si="7"/>
        <v>0.4</v>
      </c>
      <c r="I39" s="26">
        <f t="shared" si="7"/>
        <v>0.30000000000000004</v>
      </c>
      <c r="J39" s="26">
        <f t="shared" si="7"/>
        <v>0.19999999999999996</v>
      </c>
      <c r="K39" s="26">
        <f t="shared" si="7"/>
        <v>9.9999999999999978E-2</v>
      </c>
      <c r="L39" s="26">
        <f>1-L11</f>
        <v>0</v>
      </c>
    </row>
    <row r="40" spans="1:12" x14ac:dyDescent="0.25">
      <c r="A40" s="26" t="s">
        <v>15</v>
      </c>
      <c r="B40" s="14">
        <v>1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f t="shared" ref="H40:J40" si="8">$L40+H$39</f>
        <v>0.9</v>
      </c>
      <c r="I40" s="14">
        <f t="shared" si="8"/>
        <v>0.8</v>
      </c>
      <c r="J40" s="14">
        <f t="shared" si="8"/>
        <v>0.7</v>
      </c>
      <c r="K40" s="14">
        <f>$L40+K$39</f>
        <v>0.6</v>
      </c>
      <c r="L40" s="14">
        <v>0.5</v>
      </c>
    </row>
    <row r="41" spans="1:12" x14ac:dyDescent="0.25">
      <c r="A41" s="26" t="s">
        <v>16</v>
      </c>
      <c r="B41" s="14">
        <v>1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4">
        <v>1</v>
      </c>
      <c r="J41" s="14">
        <v>1</v>
      </c>
      <c r="K41" s="14">
        <v>1</v>
      </c>
      <c r="L41" s="14">
        <v>1</v>
      </c>
    </row>
    <row r="42" spans="1:12" x14ac:dyDescent="0.25">
      <c r="A42" s="26" t="s">
        <v>17</v>
      </c>
      <c r="B42" s="14">
        <v>1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4">
        <v>1</v>
      </c>
      <c r="J42" s="14">
        <v>1</v>
      </c>
      <c r="K42" s="14">
        <v>1</v>
      </c>
      <c r="L42" s="14">
        <v>1</v>
      </c>
    </row>
    <row r="43" spans="1:12" x14ac:dyDescent="0.25">
      <c r="A43" s="26" t="s">
        <v>18</v>
      </c>
      <c r="B43" s="14">
        <v>1</v>
      </c>
      <c r="C43" s="14">
        <v>1</v>
      </c>
      <c r="D43" s="14">
        <v>1</v>
      </c>
      <c r="E43" s="14">
        <v>1</v>
      </c>
      <c r="F43" s="14">
        <v>1</v>
      </c>
      <c r="G43" s="14">
        <v>1</v>
      </c>
      <c r="H43" s="14">
        <v>1</v>
      </c>
      <c r="I43" s="14">
        <v>1</v>
      </c>
      <c r="J43" s="14">
        <v>1</v>
      </c>
      <c r="K43" s="14">
        <v>1</v>
      </c>
      <c r="L43" s="14">
        <v>1</v>
      </c>
    </row>
    <row r="44" spans="1:12" x14ac:dyDescent="0.25">
      <c r="A44" s="26" t="s">
        <v>19</v>
      </c>
      <c r="B44" s="14">
        <v>1</v>
      </c>
      <c r="C44" s="14">
        <v>1</v>
      </c>
      <c r="D44" s="14">
        <v>1</v>
      </c>
      <c r="E44" s="14">
        <v>1</v>
      </c>
      <c r="F44" s="14">
        <v>1</v>
      </c>
      <c r="G44" s="14">
        <v>1</v>
      </c>
      <c r="H44" s="14">
        <v>1</v>
      </c>
      <c r="I44" s="14">
        <v>1</v>
      </c>
      <c r="J44" s="14">
        <v>1</v>
      </c>
      <c r="K44" s="14">
        <f>$L44+K$39</f>
        <v>0.9</v>
      </c>
      <c r="L44" s="14">
        <v>0.8</v>
      </c>
    </row>
    <row r="45" spans="1:12" x14ac:dyDescent="0.25">
      <c r="A45" s="24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 x14ac:dyDescent="0.25">
      <c r="A46" s="24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spans="1:12" x14ac:dyDescent="0.25">
      <c r="A47" s="17" t="s">
        <v>24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</row>
    <row r="48" spans="1:12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</row>
    <row r="49" spans="1:13" x14ac:dyDescent="0.25">
      <c r="A49" s="26" t="s">
        <v>12</v>
      </c>
      <c r="B49" s="26">
        <v>0</v>
      </c>
      <c r="C49" s="26">
        <v>0.1</v>
      </c>
      <c r="D49" s="26">
        <v>0.2</v>
      </c>
      <c r="E49" s="26">
        <v>0.3</v>
      </c>
      <c r="F49" s="26">
        <v>0.4</v>
      </c>
      <c r="G49" s="26">
        <v>0.5</v>
      </c>
      <c r="H49" s="26">
        <v>0.6</v>
      </c>
      <c r="I49" s="26">
        <v>0.7</v>
      </c>
      <c r="J49" s="26">
        <v>0.8</v>
      </c>
      <c r="K49" s="26">
        <v>0.9</v>
      </c>
      <c r="L49" s="26">
        <v>1</v>
      </c>
    </row>
    <row r="50" spans="1:13" x14ac:dyDescent="0.25">
      <c r="A50" s="26" t="s">
        <v>15</v>
      </c>
      <c r="B50" s="14">
        <f>MIN(B12,B19,B26,B33,B40)</f>
        <v>0.6</v>
      </c>
      <c r="C50" s="14">
        <f t="shared" ref="C50:L50" si="9">MIN(C12,C19,C26,C33,C40)</f>
        <v>0.6</v>
      </c>
      <c r="D50" s="14">
        <f t="shared" si="9"/>
        <v>0.6</v>
      </c>
      <c r="E50" s="14">
        <f t="shared" si="9"/>
        <v>0.6</v>
      </c>
      <c r="F50" s="14">
        <f t="shared" si="9"/>
        <v>0.6</v>
      </c>
      <c r="G50" s="14">
        <f t="shared" si="9"/>
        <v>0.6</v>
      </c>
      <c r="H50" s="14">
        <f t="shared" si="9"/>
        <v>0.6</v>
      </c>
      <c r="I50" s="14">
        <f t="shared" si="9"/>
        <v>0.6</v>
      </c>
      <c r="J50" s="14">
        <f t="shared" si="9"/>
        <v>0.6</v>
      </c>
      <c r="K50" s="14">
        <f t="shared" si="9"/>
        <v>0.6</v>
      </c>
      <c r="L50" s="14">
        <f t="shared" si="9"/>
        <v>0.5</v>
      </c>
      <c r="M50" s="30">
        <f>1-ТОЧОЦЕН(B50:L50)</f>
        <v>0.66999999999999993</v>
      </c>
    </row>
    <row r="51" spans="1:13" x14ac:dyDescent="0.25">
      <c r="A51" s="26" t="s">
        <v>16</v>
      </c>
      <c r="B51" s="14">
        <f t="shared" ref="B51:L51" si="10">MIN(B13,B20,B27,B34,B41)</f>
        <v>0.2</v>
      </c>
      <c r="C51" s="14">
        <f t="shared" si="10"/>
        <v>0.2</v>
      </c>
      <c r="D51" s="14">
        <f t="shared" si="10"/>
        <v>0.2</v>
      </c>
      <c r="E51" s="14">
        <f t="shared" si="10"/>
        <v>0.2</v>
      </c>
      <c r="F51" s="14">
        <f t="shared" si="10"/>
        <v>0.2</v>
      </c>
      <c r="G51" s="14">
        <f t="shared" si="10"/>
        <v>0.2</v>
      </c>
      <c r="H51" s="14">
        <f t="shared" si="10"/>
        <v>0.2</v>
      </c>
      <c r="I51" s="14">
        <f t="shared" si="10"/>
        <v>0.2</v>
      </c>
      <c r="J51" s="14">
        <f t="shared" si="10"/>
        <v>0.2</v>
      </c>
      <c r="K51" s="14">
        <f t="shared" si="10"/>
        <v>0.2</v>
      </c>
      <c r="L51" s="14">
        <f t="shared" si="10"/>
        <v>1</v>
      </c>
      <c r="M51" s="30">
        <f t="shared" ref="M51:M54" si="11">1-ТОЧОЦЕН(B51:L51)</f>
        <v>0.89</v>
      </c>
    </row>
    <row r="52" spans="1:13" x14ac:dyDescent="0.25">
      <c r="A52" s="26" t="s">
        <v>17</v>
      </c>
      <c r="B52" s="14">
        <f t="shared" ref="B52:L52" si="12">MIN(B14,B21,B28,B35,B42)</f>
        <v>0.3</v>
      </c>
      <c r="C52" s="14">
        <f t="shared" si="12"/>
        <v>0.3</v>
      </c>
      <c r="D52" s="14">
        <f t="shared" si="12"/>
        <v>0.3</v>
      </c>
      <c r="E52" s="14">
        <f t="shared" si="12"/>
        <v>0.3</v>
      </c>
      <c r="F52" s="14">
        <f t="shared" si="12"/>
        <v>0.3</v>
      </c>
      <c r="G52" s="14">
        <f t="shared" si="12"/>
        <v>0.3</v>
      </c>
      <c r="H52" s="14">
        <f t="shared" si="12"/>
        <v>0.3</v>
      </c>
      <c r="I52" s="14">
        <f t="shared" si="12"/>
        <v>0.3</v>
      </c>
      <c r="J52" s="14">
        <f t="shared" si="12"/>
        <v>0.3</v>
      </c>
      <c r="K52" s="14">
        <f t="shared" si="12"/>
        <v>0.3</v>
      </c>
      <c r="L52" s="14">
        <f t="shared" si="12"/>
        <v>1</v>
      </c>
      <c r="M52" s="30">
        <f t="shared" si="11"/>
        <v>0.83499999999999996</v>
      </c>
    </row>
    <row r="53" spans="1:13" x14ac:dyDescent="0.25">
      <c r="A53" s="26" t="s">
        <v>18</v>
      </c>
      <c r="B53" s="14">
        <v>0.25</v>
      </c>
      <c r="C53" s="14">
        <v>0.25</v>
      </c>
      <c r="D53" s="14">
        <v>0.25</v>
      </c>
      <c r="E53" s="14">
        <v>0.25</v>
      </c>
      <c r="F53" s="14">
        <v>0.25</v>
      </c>
      <c r="G53" s="14">
        <v>0.25</v>
      </c>
      <c r="H53" s="14">
        <v>0.25</v>
      </c>
      <c r="I53" s="14">
        <v>0.25</v>
      </c>
      <c r="J53" s="14">
        <v>0.25</v>
      </c>
      <c r="K53" s="14">
        <v>0.25</v>
      </c>
      <c r="L53" s="14">
        <f t="shared" ref="B53:L53" si="13">MIN(L15,L22,L29,L36,L43)</f>
        <v>1</v>
      </c>
      <c r="M53" s="30">
        <f t="shared" si="11"/>
        <v>0.86250000000000004</v>
      </c>
    </row>
    <row r="54" spans="1:13" x14ac:dyDescent="0.25">
      <c r="A54" s="26" t="s">
        <v>19</v>
      </c>
      <c r="B54" s="14">
        <f t="shared" ref="B54:L54" si="14">MIN(B16,B23,B30,B37,B44)</f>
        <v>0.45</v>
      </c>
      <c r="C54" s="14">
        <f t="shared" si="14"/>
        <v>0.45</v>
      </c>
      <c r="D54" s="14">
        <f t="shared" si="14"/>
        <v>0.45</v>
      </c>
      <c r="E54" s="14">
        <f t="shared" si="14"/>
        <v>0.45</v>
      </c>
      <c r="F54" s="14">
        <f t="shared" si="14"/>
        <v>0.45</v>
      </c>
      <c r="G54" s="14">
        <f t="shared" si="14"/>
        <v>0.45</v>
      </c>
      <c r="H54" s="14">
        <f t="shared" si="14"/>
        <v>0.45</v>
      </c>
      <c r="I54" s="14">
        <f t="shared" si="14"/>
        <v>0.45</v>
      </c>
      <c r="J54" s="14">
        <f t="shared" si="14"/>
        <v>0.45</v>
      </c>
      <c r="K54" s="14">
        <f t="shared" si="14"/>
        <v>0.45</v>
      </c>
      <c r="L54" s="14">
        <f t="shared" si="14"/>
        <v>0.8</v>
      </c>
      <c r="M54" s="30">
        <f t="shared" si="11"/>
        <v>0.75249999999999995</v>
      </c>
    </row>
    <row r="55" spans="1:13" x14ac:dyDescent="0.25">
      <c r="A55" s="24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</row>
    <row r="56" spans="1:13" x14ac:dyDescent="0.25">
      <c r="A56" s="19"/>
      <c r="B56" s="20"/>
      <c r="C56" s="20"/>
      <c r="D56" s="20"/>
      <c r="E56" s="20"/>
      <c r="F56" s="20"/>
      <c r="G56" s="20"/>
      <c r="H56" s="21"/>
      <c r="I56" s="18"/>
      <c r="J56" s="18"/>
      <c r="K56" s="18"/>
      <c r="L56" s="18"/>
    </row>
    <row r="57" spans="1:13" x14ac:dyDescent="0.25">
      <c r="A57" s="19"/>
      <c r="B57" s="20"/>
      <c r="C57" s="20"/>
      <c r="D57" s="20"/>
      <c r="E57" s="20"/>
      <c r="F57" s="20"/>
      <c r="G57" s="20"/>
      <c r="H57" s="21"/>
      <c r="I57" s="18"/>
      <c r="J57" s="18"/>
      <c r="K57" s="18"/>
      <c r="L57" s="18"/>
    </row>
    <row r="58" spans="1:13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8"/>
    </row>
    <row r="59" spans="1:13" x14ac:dyDescent="0.25">
      <c r="A59" s="18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18"/>
    </row>
    <row r="60" spans="1:13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18"/>
    </row>
    <row r="61" spans="1:13" x14ac:dyDescent="0.25">
      <c r="A61" s="25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18"/>
    </row>
    <row r="62" spans="1:13" x14ac:dyDescent="0.25">
      <c r="A62" s="25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8"/>
    </row>
    <row r="63" spans="1:13" x14ac:dyDescent="0.25">
      <c r="A63" s="25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18"/>
    </row>
    <row r="64" spans="1:13" x14ac:dyDescent="0.25">
      <c r="A64" s="25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18"/>
    </row>
    <row r="65" spans="1:13" x14ac:dyDescent="0.25">
      <c r="A65" s="25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18"/>
    </row>
    <row r="66" spans="1:13" x14ac:dyDescent="0.25">
      <c r="A66" s="21"/>
      <c r="B66" s="21"/>
      <c r="C66" s="21"/>
      <c r="D66" s="21"/>
      <c r="E66" s="21"/>
      <c r="F66" s="21"/>
      <c r="G66" s="18"/>
      <c r="H66" s="18"/>
      <c r="I66" s="18"/>
      <c r="J66" s="18"/>
      <c r="K66" s="18"/>
      <c r="L66" s="18"/>
      <c r="M66" s="18"/>
    </row>
    <row r="67" spans="1:13" x14ac:dyDescent="0.25">
      <c r="A67" s="25"/>
      <c r="B67" s="25"/>
      <c r="C67" s="29"/>
      <c r="D67" s="29"/>
      <c r="E67" s="29"/>
      <c r="F67" s="29"/>
      <c r="G67" s="29"/>
      <c r="H67" s="29"/>
      <c r="I67" s="29"/>
      <c r="J67" s="29"/>
      <c r="K67" s="29"/>
      <c r="L67" s="25"/>
      <c r="M67" s="18"/>
    </row>
    <row r="68" spans="1:13" x14ac:dyDescent="0.25">
      <c r="A68" s="25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18"/>
    </row>
    <row r="69" spans="1:13" x14ac:dyDescent="0.25">
      <c r="A69" s="25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18"/>
    </row>
    <row r="70" spans="1:13" x14ac:dyDescent="0.25">
      <c r="A70" s="25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18"/>
    </row>
    <row r="71" spans="1:13" x14ac:dyDescent="0.25">
      <c r="A71" s="25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18"/>
    </row>
    <row r="72" spans="1:13" x14ac:dyDescent="0.25">
      <c r="A72" s="25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18"/>
    </row>
    <row r="73" spans="1:13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</row>
    <row r="74" spans="1:13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18"/>
    </row>
    <row r="75" spans="1:13" x14ac:dyDescent="0.25">
      <c r="A75" s="25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18"/>
    </row>
    <row r="76" spans="1:13" x14ac:dyDescent="0.25">
      <c r="A76" s="25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18"/>
    </row>
    <row r="77" spans="1:13" x14ac:dyDescent="0.25">
      <c r="A77" s="25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18"/>
    </row>
    <row r="78" spans="1:13" x14ac:dyDescent="0.25">
      <c r="A78" s="25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18"/>
    </row>
    <row r="79" spans="1:13" x14ac:dyDescent="0.25">
      <c r="A79" s="25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18"/>
    </row>
    <row r="80" spans="1:13" x14ac:dyDescent="0.25">
      <c r="A80" s="22"/>
      <c r="B80" s="22"/>
      <c r="C80" s="22"/>
      <c r="D80" s="22"/>
      <c r="E80" s="22"/>
      <c r="F80" s="22"/>
      <c r="G80" s="18"/>
      <c r="H80" s="18"/>
      <c r="I80" s="18"/>
      <c r="J80" s="18"/>
      <c r="K80" s="18"/>
      <c r="L80" s="18"/>
      <c r="M80" s="18"/>
    </row>
    <row r="81" spans="1:13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18"/>
    </row>
    <row r="82" spans="1:13" x14ac:dyDescent="0.25">
      <c r="A82" s="25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18"/>
    </row>
    <row r="83" spans="1:13" x14ac:dyDescent="0.25">
      <c r="A83" s="25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18"/>
    </row>
    <row r="84" spans="1:13" x14ac:dyDescent="0.25">
      <c r="A84" s="25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18"/>
    </row>
    <row r="85" spans="1:13" x14ac:dyDescent="0.25">
      <c r="A85" s="25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18"/>
    </row>
    <row r="86" spans="1:13" x14ac:dyDescent="0.25">
      <c r="A86" s="25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18"/>
    </row>
    <row r="87" spans="1:13" x14ac:dyDescent="0.25">
      <c r="A87" s="21"/>
      <c r="B87" s="23"/>
      <c r="C87" s="21"/>
      <c r="D87" s="21"/>
      <c r="E87" s="21"/>
      <c r="F87" s="21"/>
      <c r="G87" s="18"/>
      <c r="H87" s="18"/>
      <c r="I87" s="18"/>
      <c r="J87" s="18"/>
      <c r="K87" s="18"/>
      <c r="L87" s="18"/>
      <c r="M87" s="18"/>
    </row>
    <row r="88" spans="1:13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18"/>
    </row>
    <row r="89" spans="1:13" x14ac:dyDescent="0.25">
      <c r="A89" s="25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18"/>
    </row>
    <row r="90" spans="1:13" x14ac:dyDescent="0.25">
      <c r="A90" s="25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18"/>
    </row>
    <row r="91" spans="1:13" x14ac:dyDescent="0.25">
      <c r="A91" s="25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18"/>
    </row>
    <row r="92" spans="1:13" x14ac:dyDescent="0.25">
      <c r="A92" s="25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18"/>
    </row>
    <row r="93" spans="1:13" x14ac:dyDescent="0.25">
      <c r="A93" s="25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18"/>
    </row>
    <row r="94" spans="1:13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</row>
    <row r="95" spans="1:13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1:13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</row>
    <row r="97" spans="1:13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1:13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1:13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</row>
    <row r="100" spans="1:13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</row>
    <row r="101" spans="1:13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</row>
    <row r="102" spans="1:13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</row>
    <row r="103" spans="1:13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</row>
    <row r="104" spans="1:13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</row>
    <row r="105" spans="1:13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</row>
    <row r="106" spans="1:13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</row>
    <row r="107" spans="1:13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</row>
    <row r="108" spans="1:13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</row>
    <row r="109" spans="1:13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</row>
    <row r="110" spans="1:13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</row>
    <row r="111" spans="1:13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</row>
    <row r="112" spans="1:13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</row>
    <row r="113" spans="1:12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</row>
    <row r="114" spans="1:12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</row>
    <row r="115" spans="1:12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</row>
    <row r="116" spans="1:12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</row>
    <row r="117" spans="1:12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</row>
    <row r="118" spans="1:12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</row>
    <row r="119" spans="1:12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</row>
    <row r="120" spans="1:12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</row>
    <row r="121" spans="1:12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</row>
    <row r="122" spans="1:12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</row>
    <row r="123" spans="1:12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</row>
    <row r="124" spans="1:12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</row>
    <row r="125" spans="1:12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</row>
    <row r="126" spans="1:12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</row>
    <row r="127" spans="1:12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</row>
    <row r="128" spans="1:12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</row>
    <row r="129" spans="1:12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</row>
    <row r="130" spans="1:12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</row>
    <row r="131" spans="1:12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</row>
    <row r="132" spans="1:12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</row>
    <row r="133" spans="1:12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</row>
    <row r="134" spans="1:12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</row>
    <row r="135" spans="1:12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</row>
    <row r="136" spans="1:12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</row>
    <row r="137" spans="1:12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</row>
    <row r="138" spans="1:12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</row>
    <row r="139" spans="1:12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</row>
    <row r="140" spans="1:12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</row>
    <row r="141" spans="1:12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</row>
    <row r="142" spans="1:12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</row>
    <row r="143" spans="1:12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</row>
    <row r="144" spans="1:12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</row>
    <row r="145" spans="1:12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</row>
    <row r="146" spans="1:12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</row>
    <row r="147" spans="1:12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</row>
    <row r="148" spans="1:12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</row>
    <row r="149" spans="1:12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</row>
    <row r="150" spans="1:12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</row>
    <row r="151" spans="1:12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</row>
    <row r="152" spans="1:12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</row>
    <row r="153" spans="1:12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</row>
    <row r="154" spans="1:12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</row>
    <row r="155" spans="1:12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</row>
    <row r="156" spans="1:12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</row>
    <row r="157" spans="1:12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</row>
    <row r="158" spans="1:12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</row>
    <row r="159" spans="1:12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</row>
    <row r="160" spans="1:12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</row>
    <row r="161" spans="1:12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</row>
    <row r="162" spans="1:12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</row>
    <row r="163" spans="1:12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</row>
    <row r="164" spans="1:12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</row>
    <row r="165" spans="1:12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</row>
    <row r="166" spans="1:12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</row>
    <row r="167" spans="1:12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</row>
    <row r="168" spans="1:12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</row>
    <row r="169" spans="1:12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</row>
    <row r="170" spans="1:12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</row>
    <row r="171" spans="1:12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</row>
    <row r="172" spans="1:12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</row>
    <row r="173" spans="1:12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</row>
    <row r="174" spans="1:12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</row>
    <row r="175" spans="1:12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</row>
    <row r="176" spans="1:12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</row>
    <row r="177" spans="1:12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</row>
    <row r="178" spans="1:12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</row>
    <row r="179" spans="1:12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</row>
    <row r="180" spans="1:12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</row>
    <row r="181" spans="1:12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</row>
    <row r="182" spans="1:12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</row>
    <row r="183" spans="1:12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</row>
    <row r="184" spans="1:12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</row>
    <row r="185" spans="1:12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</row>
    <row r="186" spans="1:12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</row>
  </sheetData>
  <mergeCells count="3">
    <mergeCell ref="A9:G9"/>
    <mergeCell ref="A58:L58"/>
    <mergeCell ref="A47:L47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Адаменко</dc:creator>
  <cp:lastModifiedBy>Игорь Адаменко</cp:lastModifiedBy>
  <dcterms:created xsi:type="dcterms:W3CDTF">2015-11-23T16:45:25Z</dcterms:created>
  <dcterms:modified xsi:type="dcterms:W3CDTF">2015-12-08T14:46:23Z</dcterms:modified>
</cp:coreProperties>
</file>