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ropbox\БГТУ\ТПР\Лабораторные работы\04\"/>
    </mc:Choice>
  </mc:AlternateContent>
  <bookViews>
    <workbookView xWindow="0" yWindow="0" windowWidth="20490" windowHeight="7755"/>
  </bookViews>
  <sheets>
    <sheet name="Лист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3" i="1" l="1"/>
  <c r="C133" i="1"/>
  <c r="C131" i="1"/>
  <c r="D56" i="1"/>
  <c r="D26" i="1"/>
  <c r="D5" i="1"/>
  <c r="B11" i="1"/>
  <c r="B6" i="1"/>
  <c r="B5" i="1"/>
  <c r="K154" i="1" l="1" a="1"/>
  <c r="H163" i="1" a="1"/>
  <c r="E163" i="1" a="1"/>
  <c r="E160" i="1" a="1"/>
  <c r="B163" i="1" a="1"/>
  <c r="B160" i="1" a="1"/>
  <c r="B157" i="1" a="1"/>
  <c r="E132" i="1"/>
  <c r="E133" i="1"/>
  <c r="E131" i="1"/>
  <c r="C128" i="1"/>
  <c r="B128" i="1"/>
  <c r="E128" i="1" s="1"/>
  <c r="B123" i="1"/>
  <c r="E123" i="1" s="1"/>
  <c r="C126" i="1"/>
  <c r="E127" i="1"/>
  <c r="E126" i="1"/>
  <c r="C123" i="1"/>
  <c r="C121" i="1"/>
  <c r="E122" i="1"/>
  <c r="E121" i="1"/>
  <c r="D116" i="1"/>
  <c r="D115" i="1"/>
  <c r="C115" i="1"/>
  <c r="E115" i="1" s="1"/>
  <c r="E117" i="1"/>
  <c r="E116" i="1"/>
  <c r="C112" i="1"/>
  <c r="B112" i="1"/>
  <c r="C110" i="1"/>
  <c r="E110" i="1" s="1"/>
  <c r="E111" i="1"/>
  <c r="D106" i="1"/>
  <c r="B107" i="1"/>
  <c r="E107" i="1" s="1"/>
  <c r="B106" i="1"/>
  <c r="E106" i="1" s="1"/>
  <c r="E105" i="1"/>
  <c r="D100" i="1"/>
  <c r="D99" i="1"/>
  <c r="C99" i="1"/>
  <c r="E101" i="1"/>
  <c r="E100" i="1"/>
  <c r="C96" i="1"/>
  <c r="E96" i="1" s="1"/>
  <c r="D94" i="1"/>
  <c r="C94" i="1"/>
  <c r="E95" i="1"/>
  <c r="D90" i="1"/>
  <c r="B91" i="1"/>
  <c r="E91" i="1" s="1"/>
  <c r="B90" i="1"/>
  <c r="E89" i="1"/>
  <c r="D85" i="1"/>
  <c r="D84" i="1"/>
  <c r="C84" i="1"/>
  <c r="E86" i="1"/>
  <c r="E85" i="1"/>
  <c r="D80" i="1"/>
  <c r="E80" i="1" s="1"/>
  <c r="C79" i="1"/>
  <c r="E81" i="1"/>
  <c r="D79" i="1"/>
  <c r="D75" i="1"/>
  <c r="C74" i="1"/>
  <c r="D74" i="1"/>
  <c r="E76" i="1"/>
  <c r="E75" i="1"/>
  <c r="D66" i="1"/>
  <c r="D65" i="1"/>
  <c r="E65" i="1" s="1"/>
  <c r="B66" i="1"/>
  <c r="E67" i="1"/>
  <c r="D61" i="1"/>
  <c r="B62" i="1"/>
  <c r="E62" i="1" s="1"/>
  <c r="B61" i="1"/>
  <c r="E60" i="1"/>
  <c r="B57" i="1"/>
  <c r="E57" i="1" s="1"/>
  <c r="B56" i="1"/>
  <c r="E55" i="1"/>
  <c r="D51" i="1"/>
  <c r="D50" i="1"/>
  <c r="C50" i="1"/>
  <c r="E50" i="1" s="1"/>
  <c r="E52" i="1"/>
  <c r="E51" i="1"/>
  <c r="D46" i="1"/>
  <c r="E46" i="1"/>
  <c r="D45" i="1"/>
  <c r="C45" i="1"/>
  <c r="E47" i="1"/>
  <c r="D41" i="1"/>
  <c r="D40" i="1"/>
  <c r="C40" i="1"/>
  <c r="E42" i="1"/>
  <c r="E41" i="1"/>
  <c r="C37" i="1"/>
  <c r="B37" i="1"/>
  <c r="C35" i="1"/>
  <c r="E35" i="1" s="1"/>
  <c r="E36" i="1"/>
  <c r="D31" i="1"/>
  <c r="D30" i="1"/>
  <c r="E32" i="1"/>
  <c r="B31" i="1"/>
  <c r="E30" i="1"/>
  <c r="E27" i="1"/>
  <c r="D25" i="1"/>
  <c r="E25" i="1" s="1"/>
  <c r="B26" i="1"/>
  <c r="D10" i="1"/>
  <c r="D11" i="1"/>
  <c r="E4" i="1"/>
  <c r="E6" i="1"/>
  <c r="E112" i="1" l="1"/>
  <c r="F112" i="1" s="1"/>
  <c r="I150" i="1" s="1"/>
  <c r="I165" i="1" s="1"/>
  <c r="E31" i="1"/>
  <c r="F30" i="1" s="1"/>
  <c r="C142" i="1" s="1"/>
  <c r="E45" i="1"/>
  <c r="F45" i="1" s="1"/>
  <c r="C145" i="1" s="1"/>
  <c r="E61" i="1"/>
  <c r="F61" i="1" s="1"/>
  <c r="C149" i="1" s="1"/>
  <c r="E84" i="1"/>
  <c r="F85" i="1" s="1"/>
  <c r="G146" i="1" s="1"/>
  <c r="E90" i="1"/>
  <c r="F90" i="1" s="1"/>
  <c r="E149" i="1" s="1"/>
  <c r="E99" i="1"/>
  <c r="F101" i="1" s="1"/>
  <c r="G150" i="1" s="1"/>
  <c r="E37" i="1"/>
  <c r="F36" i="1" s="1"/>
  <c r="D143" i="1" s="1"/>
  <c r="E40" i="1"/>
  <c r="F42" i="1" s="1"/>
  <c r="B147" i="1" s="1"/>
  <c r="E79" i="1"/>
  <c r="F80" i="1" s="1"/>
  <c r="F146" i="1" s="1"/>
  <c r="E74" i="1"/>
  <c r="F76" i="1" s="1"/>
  <c r="E147" i="1" s="1"/>
  <c r="F107" i="1"/>
  <c r="H150" i="1" s="1"/>
  <c r="H165" i="1" s="1"/>
  <c r="F106" i="1"/>
  <c r="H149" i="1" s="1"/>
  <c r="H164" i="1" s="1"/>
  <c r="F132" i="1"/>
  <c r="M140" i="1" s="1"/>
  <c r="M155" i="1" s="1"/>
  <c r="F131" i="1"/>
  <c r="M139" i="1" s="1"/>
  <c r="M154" i="1" s="1"/>
  <c r="F133" i="1"/>
  <c r="M141" i="1" s="1"/>
  <c r="M156" i="1" s="1"/>
  <c r="F127" i="1"/>
  <c r="L140" i="1" s="1"/>
  <c r="L155" i="1" s="1"/>
  <c r="F126" i="1"/>
  <c r="L139" i="1" s="1"/>
  <c r="L154" i="1" s="1"/>
  <c r="F128" i="1"/>
  <c r="L141" i="1" s="1"/>
  <c r="L156" i="1" s="1"/>
  <c r="F122" i="1"/>
  <c r="K140" i="1" s="1"/>
  <c r="K155" i="1" s="1"/>
  <c r="F121" i="1"/>
  <c r="K139" i="1" s="1"/>
  <c r="K154" i="1" s="1"/>
  <c r="F123" i="1"/>
  <c r="K141" i="1" s="1"/>
  <c r="K156" i="1" s="1"/>
  <c r="F116" i="1"/>
  <c r="J149" i="1" s="1"/>
  <c r="J164" i="1" s="1"/>
  <c r="F115" i="1"/>
  <c r="J148" i="1" s="1"/>
  <c r="J163" i="1" s="1"/>
  <c r="F117" i="1"/>
  <c r="J150" i="1" s="1"/>
  <c r="J165" i="1" s="1"/>
  <c r="F110" i="1"/>
  <c r="I148" i="1" s="1"/>
  <c r="I163" i="1" s="1"/>
  <c r="F105" i="1"/>
  <c r="H148" i="1" s="1"/>
  <c r="H163" i="1" s="1"/>
  <c r="E56" i="1"/>
  <c r="F56" i="1" s="1"/>
  <c r="B149" i="1" s="1"/>
  <c r="E26" i="1"/>
  <c r="F26" i="1" s="1"/>
  <c r="B143" i="1" s="1"/>
  <c r="E66" i="1"/>
  <c r="F65" i="1" s="1"/>
  <c r="D148" i="1" s="1"/>
  <c r="E11" i="1"/>
  <c r="C18" i="1" s="1"/>
  <c r="E94" i="1"/>
  <c r="F95" i="1" s="1"/>
  <c r="F149" i="1" s="1"/>
  <c r="F52" i="1"/>
  <c r="D147" i="1" s="1"/>
  <c r="F50" i="1"/>
  <c r="D145" i="1" s="1"/>
  <c r="F51" i="1"/>
  <c r="D146" i="1" s="1"/>
  <c r="E10" i="1"/>
  <c r="C17" i="1" s="1"/>
  <c r="E5" i="1"/>
  <c r="F5" i="1" s="1"/>
  <c r="B17" i="1" s="1"/>
  <c r="F100" i="1" l="1"/>
  <c r="G149" i="1" s="1"/>
  <c r="F111" i="1"/>
  <c r="I149" i="1" s="1"/>
  <c r="I164" i="1" s="1"/>
  <c r="I167" i="1" s="1"/>
  <c r="F99" i="1"/>
  <c r="G148" i="1" s="1"/>
  <c r="G163" i="1" s="1"/>
  <c r="F75" i="1"/>
  <c r="E146" i="1" s="1"/>
  <c r="E161" i="1" s="1"/>
  <c r="F31" i="1"/>
  <c r="C143" i="1" s="1"/>
  <c r="B162" i="1"/>
  <c r="F32" i="1"/>
  <c r="C144" i="1" s="1"/>
  <c r="G161" i="1"/>
  <c r="F161" i="1"/>
  <c r="E162" i="1"/>
  <c r="E164" i="1"/>
  <c r="F164" i="1"/>
  <c r="G164" i="1"/>
  <c r="G165" i="1"/>
  <c r="C160" i="1"/>
  <c r="D161" i="1"/>
  <c r="D162" i="1"/>
  <c r="D160" i="1"/>
  <c r="K167" i="1"/>
  <c r="H167" i="1"/>
  <c r="J167" i="1"/>
  <c r="M167" i="1"/>
  <c r="L167" i="1"/>
  <c r="F91" i="1"/>
  <c r="E150" i="1" s="1"/>
  <c r="E165" i="1" s="1"/>
  <c r="F89" i="1"/>
  <c r="E148" i="1" s="1"/>
  <c r="E163" i="1" s="1"/>
  <c r="F47" i="1"/>
  <c r="C147" i="1" s="1"/>
  <c r="C162" i="1" s="1"/>
  <c r="F46" i="1"/>
  <c r="C146" i="1" s="1"/>
  <c r="C161" i="1" s="1"/>
  <c r="F74" i="1"/>
  <c r="E145" i="1" s="1"/>
  <c r="E160" i="1" s="1"/>
  <c r="F62" i="1"/>
  <c r="C150" i="1" s="1"/>
  <c r="F60" i="1"/>
  <c r="C148" i="1" s="1"/>
  <c r="F84" i="1"/>
  <c r="G145" i="1" s="1"/>
  <c r="G160" i="1" s="1"/>
  <c r="F86" i="1"/>
  <c r="G147" i="1" s="1"/>
  <c r="G162" i="1" s="1"/>
  <c r="F37" i="1"/>
  <c r="D144" i="1" s="1"/>
  <c r="F35" i="1"/>
  <c r="D142" i="1" s="1"/>
  <c r="F79" i="1"/>
  <c r="F145" i="1" s="1"/>
  <c r="F160" i="1" s="1"/>
  <c r="F40" i="1"/>
  <c r="B145" i="1" s="1"/>
  <c r="B160" i="1" s="1"/>
  <c r="F41" i="1"/>
  <c r="B146" i="1" s="1"/>
  <c r="B161" i="1" s="1"/>
  <c r="F81" i="1"/>
  <c r="F147" i="1" s="1"/>
  <c r="F162" i="1" s="1"/>
  <c r="F57" i="1"/>
  <c r="B150" i="1" s="1"/>
  <c r="F66" i="1"/>
  <c r="D149" i="1" s="1"/>
  <c r="F55" i="1"/>
  <c r="B148" i="1" s="1"/>
  <c r="F67" i="1"/>
  <c r="D150" i="1" s="1"/>
  <c r="F94" i="1"/>
  <c r="F148" i="1" s="1"/>
  <c r="F163" i="1" s="1"/>
  <c r="F27" i="1"/>
  <c r="B144" i="1" s="1"/>
  <c r="F96" i="1"/>
  <c r="F150" i="1" s="1"/>
  <c r="F165" i="1" s="1"/>
  <c r="F25" i="1"/>
  <c r="B142" i="1" s="1"/>
  <c r="F4" i="1"/>
  <c r="B16" i="1" s="1"/>
  <c r="F6" i="1"/>
  <c r="B18" i="1" s="1"/>
  <c r="E167" i="1" l="1"/>
  <c r="F167" i="1"/>
  <c r="G167" i="1"/>
  <c r="B163" i="1"/>
  <c r="D163" i="1"/>
  <c r="B165" i="1"/>
  <c r="D164" i="1"/>
  <c r="D165" i="1"/>
  <c r="C165" i="1"/>
  <c r="C163" i="1"/>
  <c r="C164" i="1"/>
  <c r="B164" i="1"/>
  <c r="B159" i="1"/>
  <c r="C159" i="1"/>
  <c r="D158" i="1"/>
  <c r="B157" i="1"/>
  <c r="D157" i="1"/>
  <c r="D159" i="1"/>
  <c r="C158" i="1"/>
  <c r="B158" i="1"/>
  <c r="C157" i="1"/>
  <c r="B171" i="1" a="1"/>
  <c r="I171" i="1" l="1"/>
  <c r="M172" i="1"/>
  <c r="E174" i="1"/>
  <c r="I175" i="1"/>
  <c r="M176" i="1"/>
  <c r="E178" i="1"/>
  <c r="I179" i="1"/>
  <c r="M180" i="1"/>
  <c r="E182" i="1"/>
  <c r="C181" i="1"/>
  <c r="D171" i="1"/>
  <c r="D173" i="1"/>
  <c r="D176" i="1"/>
  <c r="H178" i="1"/>
  <c r="D181" i="1"/>
  <c r="F171" i="1"/>
  <c r="J172" i="1"/>
  <c r="B174" i="1"/>
  <c r="E188" i="1" s="1"/>
  <c r="F175" i="1"/>
  <c r="J176" i="1"/>
  <c r="B178" i="1"/>
  <c r="E192" i="1" s="1"/>
  <c r="F179" i="1"/>
  <c r="J180" i="1"/>
  <c r="B182" i="1"/>
  <c r="E196" i="1" s="1"/>
  <c r="G171" i="1"/>
  <c r="K172" i="1"/>
  <c r="C174" i="1"/>
  <c r="G175" i="1"/>
  <c r="K176" i="1"/>
  <c r="C178" i="1"/>
  <c r="G179" i="1"/>
  <c r="G181" i="1"/>
  <c r="H173" i="1"/>
  <c r="L175" i="1"/>
  <c r="L178" i="1"/>
  <c r="H181" i="1"/>
  <c r="E171" i="1"/>
  <c r="E175" i="1"/>
  <c r="M177" i="1"/>
  <c r="M181" i="1"/>
  <c r="K182" i="1"/>
  <c r="H175" i="1"/>
  <c r="H180" i="1"/>
  <c r="F172" i="1"/>
  <c r="B175" i="1"/>
  <c r="E189" i="1" s="1"/>
  <c r="J177" i="1"/>
  <c r="F180" i="1"/>
  <c r="C171" i="1"/>
  <c r="C175" i="1"/>
  <c r="K177" i="1"/>
  <c r="K180" i="1"/>
  <c r="D178" i="1"/>
  <c r="M171" i="1"/>
  <c r="E173" i="1"/>
  <c r="I174" i="1"/>
  <c r="M175" i="1"/>
  <c r="E177" i="1"/>
  <c r="I178" i="1"/>
  <c r="M179" i="1"/>
  <c r="E181" i="1"/>
  <c r="I182" i="1"/>
  <c r="K181" i="1"/>
  <c r="L171" i="1"/>
  <c r="L173" i="1"/>
  <c r="L176" i="1"/>
  <c r="D179" i="1"/>
  <c r="L181" i="1"/>
  <c r="J171" i="1"/>
  <c r="B173" i="1"/>
  <c r="E187" i="1" s="1"/>
  <c r="F174" i="1"/>
  <c r="J175" i="1"/>
  <c r="B177" i="1"/>
  <c r="E191" i="1" s="1"/>
  <c r="F178" i="1"/>
  <c r="J179" i="1"/>
  <c r="B181" i="1"/>
  <c r="E195" i="1" s="1"/>
  <c r="F182" i="1"/>
  <c r="K171" i="1"/>
  <c r="C173" i="1"/>
  <c r="G174" i="1"/>
  <c r="K175" i="1"/>
  <c r="C177" i="1"/>
  <c r="G178" i="1"/>
  <c r="K179" i="1"/>
  <c r="G182" i="1"/>
  <c r="D174" i="1"/>
  <c r="H176" i="1"/>
  <c r="H179" i="1"/>
  <c r="D182" i="1"/>
  <c r="G172" i="1"/>
  <c r="H172" i="1"/>
  <c r="E172" i="1"/>
  <c r="I173" i="1"/>
  <c r="M174" i="1"/>
  <c r="E176" i="1"/>
  <c r="I177" i="1"/>
  <c r="M178" i="1"/>
  <c r="E180" i="1"/>
  <c r="I181" i="1"/>
  <c r="M182" i="1"/>
  <c r="C182" i="1"/>
  <c r="D172" i="1"/>
  <c r="L174" i="1"/>
  <c r="H177" i="1"/>
  <c r="L179" i="1"/>
  <c r="H182" i="1"/>
  <c r="B172" i="1"/>
  <c r="E186" i="1" s="1"/>
  <c r="F173" i="1"/>
  <c r="J174" i="1"/>
  <c r="B176" i="1"/>
  <c r="E190" i="1" s="1"/>
  <c r="F177" i="1"/>
  <c r="J178" i="1"/>
  <c r="B180" i="1"/>
  <c r="E194" i="1" s="1"/>
  <c r="F181" i="1"/>
  <c r="J182" i="1"/>
  <c r="C172" i="1"/>
  <c r="G173" i="1"/>
  <c r="K174" i="1"/>
  <c r="C176" i="1"/>
  <c r="G177" i="1"/>
  <c r="K178" i="1"/>
  <c r="C180" i="1"/>
  <c r="H171" i="1"/>
  <c r="H174" i="1"/>
  <c r="D177" i="1"/>
  <c r="D180" i="1"/>
  <c r="L182" i="1"/>
  <c r="I172" i="1"/>
  <c r="M173" i="1"/>
  <c r="I176" i="1"/>
  <c r="E179" i="1"/>
  <c r="I180" i="1"/>
  <c r="G180" i="1"/>
  <c r="L172" i="1"/>
  <c r="L177" i="1"/>
  <c r="B171" i="1"/>
  <c r="E185" i="1" s="1"/>
  <c r="J173" i="1"/>
  <c r="F176" i="1"/>
  <c r="B179" i="1"/>
  <c r="E193" i="1" s="1"/>
  <c r="J181" i="1"/>
  <c r="K173" i="1"/>
  <c r="G176" i="1"/>
  <c r="C179" i="1"/>
  <c r="D175" i="1"/>
  <c r="L180" i="1"/>
  <c r="C167" i="1"/>
  <c r="D167" i="1"/>
  <c r="B167" i="1"/>
  <c r="F185" i="1" l="1"/>
  <c r="G194" i="1" s="1"/>
  <c r="F194" i="1"/>
  <c r="F188" i="1"/>
  <c r="F191" i="1"/>
  <c r="G191" i="1" l="1"/>
  <c r="G192" i="1"/>
  <c r="G189" i="1"/>
  <c r="G193" i="1"/>
  <c r="G187" i="1"/>
  <c r="G186" i="1"/>
  <c r="G196" i="1"/>
  <c r="G185" i="1"/>
  <c r="G190" i="1"/>
  <c r="G188" i="1"/>
  <c r="G195" i="1"/>
</calcChain>
</file>

<file path=xl/sharedStrings.xml><?xml version="1.0" encoding="utf-8"?>
<sst xmlns="http://schemas.openxmlformats.org/spreadsheetml/2006/main" count="77" uniqueCount="34">
  <si>
    <t>Макроуровень</t>
  </si>
  <si>
    <t>Первый кластер</t>
  </si>
  <si>
    <t>Собств.</t>
  </si>
  <si>
    <t xml:space="preserve">Собств. </t>
  </si>
  <si>
    <t>Второй кластер</t>
  </si>
  <si>
    <t>Ср. геом.</t>
  </si>
  <si>
    <t>Матрица влияния кластеров друг на друга</t>
  </si>
  <si>
    <t>Микроуровень</t>
  </si>
  <si>
    <t>Кластер «Альтернативы»</t>
  </si>
  <si>
    <t>Кластер «Общие свойства»</t>
  </si>
  <si>
    <t>Кластер «Недостатки»</t>
  </si>
  <si>
    <t>Кластер «Первое впечатление»</t>
  </si>
  <si>
    <t>Синтез</t>
  </si>
  <si>
    <t>Взвешенная матрица</t>
  </si>
  <si>
    <t>Исходная матрица</t>
  </si>
  <si>
    <t>Проверка:</t>
  </si>
  <si>
    <t>Предельная матрица, при k = 58</t>
  </si>
  <si>
    <t>Абсолютные приоритеты</t>
  </si>
  <si>
    <t>1. Альтернативы</t>
  </si>
  <si>
    <t>1. Meizu MX4</t>
  </si>
  <si>
    <t>2. Xiaomi Mi4</t>
  </si>
  <si>
    <t>3. OnePlus One</t>
  </si>
  <si>
    <t>1. Разрешение экрана</t>
  </si>
  <si>
    <t>2. Ёмкость аккумулятора</t>
  </si>
  <si>
    <t>3. Мощность</t>
  </si>
  <si>
    <t>2. Общие свойства</t>
  </si>
  <si>
    <t>3. Недостатки</t>
  </si>
  <si>
    <t>1. Стоимость ремонта</t>
  </si>
  <si>
    <t>2. Громозкость</t>
  </si>
  <si>
    <t>3. Энергозатраты</t>
  </si>
  <si>
    <t>4. Первое впечатление</t>
  </si>
  <si>
    <t>1. Внешний вид</t>
  </si>
  <si>
    <t>2. Компактность</t>
  </si>
  <si>
    <t>3. Стоимость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</si>
</sst>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000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1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0" applyBorder="1" applyAlignment="1">
      <alignment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0" fillId="0" borderId="12" xfId="0" applyBorder="1" applyAlignment="1">
      <alignment wrapText="1"/>
    </xf>
    <xf numFmtId="0" fontId="0" fillId="0" borderId="17" xfId="0" applyBorder="1" applyAlignment="1">
      <alignment vertical="center" wrapText="1"/>
    </xf>
    <xf numFmtId="0" fontId="0" fillId="0" borderId="3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8" xfId="0" applyBorder="1" applyAlignment="1">
      <alignment wrapText="1"/>
    </xf>
    <xf numFmtId="0" fontId="1" fillId="0" borderId="13" xfId="0" applyFont="1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1" xfId="0" applyFont="1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18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26" xfId="0" applyBorder="1" applyAlignment="1">
      <alignment vertical="center" wrapText="1"/>
    </xf>
    <xf numFmtId="0" fontId="0" fillId="0" borderId="27" xfId="0" applyBorder="1" applyAlignment="1">
      <alignment vertical="center" wrapText="1"/>
    </xf>
    <xf numFmtId="165" fontId="0" fillId="0" borderId="1" xfId="0" applyNumberFormat="1" applyBorder="1" applyAlignment="1">
      <alignment vertical="center" wrapText="1"/>
    </xf>
    <xf numFmtId="0" fontId="1" fillId="0" borderId="1" xfId="0" applyFont="1" applyFill="1" applyBorder="1" applyAlignment="1">
      <alignment vertical="center" wrapText="1"/>
    </xf>
    <xf numFmtId="0" fontId="1" fillId="0" borderId="1" xfId="0" applyNumberFormat="1" applyFont="1" applyBorder="1" applyAlignment="1">
      <alignment vertical="center" wrapText="1"/>
    </xf>
    <xf numFmtId="0" fontId="1" fillId="0" borderId="13" xfId="0" applyNumberFormat="1" applyFont="1" applyBorder="1" applyAlignment="1">
      <alignment vertical="center" wrapText="1"/>
    </xf>
    <xf numFmtId="0" fontId="1" fillId="0" borderId="13" xfId="0" applyNumberFormat="1" applyFont="1" applyBorder="1" applyAlignment="1">
      <alignment wrapText="1"/>
    </xf>
    <xf numFmtId="0" fontId="1" fillId="0" borderId="11" xfId="0" applyNumberFormat="1" applyFont="1" applyBorder="1" applyAlignment="1">
      <alignment vertical="center" wrapText="1"/>
    </xf>
    <xf numFmtId="0" fontId="0" fillId="0" borderId="3" xfId="0" applyNumberFormat="1" applyBorder="1" applyAlignment="1">
      <alignment vertical="center" wrapText="1"/>
    </xf>
    <xf numFmtId="0" fontId="0" fillId="0" borderId="15" xfId="0" applyNumberFormat="1" applyBorder="1" applyAlignment="1">
      <alignment vertical="center" wrapText="1"/>
    </xf>
    <xf numFmtId="0" fontId="0" fillId="0" borderId="24" xfId="0" applyNumberFormat="1" applyBorder="1" applyAlignment="1">
      <alignment vertical="center" wrapText="1"/>
    </xf>
    <xf numFmtId="0" fontId="0" fillId="0" borderId="4" xfId="0" applyNumberFormat="1" applyBorder="1" applyAlignment="1">
      <alignment vertical="center" wrapText="1"/>
    </xf>
    <xf numFmtId="0" fontId="0" fillId="0" borderId="18" xfId="0" applyNumberFormat="1" applyBorder="1" applyAlignment="1">
      <alignment wrapText="1"/>
    </xf>
    <xf numFmtId="0" fontId="0" fillId="0" borderId="15" xfId="0" applyNumberFormat="1" applyBorder="1" applyAlignment="1">
      <alignment wrapText="1"/>
    </xf>
    <xf numFmtId="0" fontId="0" fillId="0" borderId="4" xfId="0" applyNumberFormat="1" applyBorder="1" applyAlignment="1">
      <alignment wrapText="1"/>
    </xf>
    <xf numFmtId="0" fontId="0" fillId="0" borderId="3" xfId="0" applyNumberFormat="1" applyBorder="1" applyAlignment="1">
      <alignment wrapText="1"/>
    </xf>
    <xf numFmtId="0" fontId="0" fillId="0" borderId="5" xfId="0" applyNumberFormat="1" applyBorder="1" applyAlignment="1">
      <alignment vertical="center" wrapText="1"/>
    </xf>
    <xf numFmtId="0" fontId="0" fillId="0" borderId="1" xfId="0" applyNumberFormat="1" applyBorder="1" applyAlignment="1">
      <alignment vertical="center" wrapText="1"/>
    </xf>
    <xf numFmtId="0" fontId="0" fillId="0" borderId="11" xfId="0" applyNumberFormat="1" applyBorder="1" applyAlignment="1">
      <alignment vertical="center" wrapText="1"/>
    </xf>
    <xf numFmtId="0" fontId="0" fillId="0" borderId="6" xfId="0" applyNumberFormat="1" applyBorder="1" applyAlignment="1">
      <alignment vertical="center" wrapText="1"/>
    </xf>
    <xf numFmtId="0" fontId="0" fillId="0" borderId="12" xfId="0" applyNumberFormat="1" applyBorder="1" applyAlignment="1">
      <alignment wrapText="1"/>
    </xf>
    <xf numFmtId="0" fontId="0" fillId="0" borderId="1" xfId="0" applyNumberFormat="1" applyBorder="1" applyAlignment="1">
      <alignment wrapText="1"/>
    </xf>
    <xf numFmtId="0" fontId="0" fillId="0" borderId="6" xfId="0" applyNumberFormat="1" applyBorder="1" applyAlignment="1">
      <alignment wrapText="1"/>
    </xf>
    <xf numFmtId="0" fontId="0" fillId="0" borderId="5" xfId="0" applyNumberFormat="1" applyBorder="1" applyAlignment="1">
      <alignment wrapText="1"/>
    </xf>
    <xf numFmtId="0" fontId="0" fillId="0" borderId="7" xfId="0" applyNumberFormat="1" applyBorder="1" applyAlignment="1">
      <alignment vertical="center" wrapText="1"/>
    </xf>
    <xf numFmtId="0" fontId="0" fillId="0" borderId="16" xfId="0" applyNumberFormat="1" applyBorder="1" applyAlignment="1">
      <alignment vertical="center" wrapText="1"/>
    </xf>
    <xf numFmtId="0" fontId="0" fillId="0" borderId="25" xfId="0" applyNumberFormat="1" applyBorder="1" applyAlignment="1">
      <alignment vertical="center" wrapText="1"/>
    </xf>
    <xf numFmtId="0" fontId="0" fillId="0" borderId="9" xfId="0" applyNumberFormat="1" applyBorder="1" applyAlignment="1">
      <alignment vertical="center" wrapText="1"/>
    </xf>
    <xf numFmtId="0" fontId="0" fillId="0" borderId="13" xfId="0" applyNumberFormat="1" applyBorder="1" applyAlignment="1">
      <alignment vertical="center" wrapText="1"/>
    </xf>
    <xf numFmtId="0" fontId="0" fillId="0" borderId="10" xfId="0" applyNumberFormat="1" applyBorder="1" applyAlignment="1">
      <alignment vertical="center" wrapText="1"/>
    </xf>
    <xf numFmtId="0" fontId="0" fillId="0" borderId="19" xfId="0" applyNumberFormat="1" applyBorder="1" applyAlignment="1">
      <alignment wrapText="1"/>
    </xf>
    <xf numFmtId="0" fontId="0" fillId="0" borderId="16" xfId="0" applyNumberFormat="1" applyBorder="1" applyAlignment="1">
      <alignment wrapText="1"/>
    </xf>
    <xf numFmtId="0" fontId="0" fillId="0" borderId="8" xfId="0" applyNumberFormat="1" applyBorder="1" applyAlignment="1">
      <alignment wrapText="1"/>
    </xf>
    <xf numFmtId="0" fontId="0" fillId="0" borderId="7" xfId="0" applyNumberFormat="1" applyBorder="1" applyAlignment="1">
      <alignment wrapText="1"/>
    </xf>
    <xf numFmtId="0" fontId="0" fillId="0" borderId="20" xfId="0" applyNumberFormat="1" applyBorder="1" applyAlignment="1">
      <alignment vertical="center" wrapText="1"/>
    </xf>
    <xf numFmtId="0" fontId="0" fillId="0" borderId="14" xfId="0" applyNumberFormat="1" applyBorder="1" applyAlignment="1">
      <alignment vertical="center" wrapText="1"/>
    </xf>
    <xf numFmtId="0" fontId="0" fillId="0" borderId="26" xfId="0" applyNumberFormat="1" applyBorder="1" applyAlignment="1">
      <alignment vertical="center" wrapText="1"/>
    </xf>
    <xf numFmtId="0" fontId="0" fillId="0" borderId="22" xfId="0" applyNumberFormat="1" applyBorder="1" applyAlignment="1">
      <alignment vertical="center" wrapText="1"/>
    </xf>
    <xf numFmtId="0" fontId="0" fillId="0" borderId="23" xfId="0" applyNumberFormat="1" applyBorder="1" applyAlignment="1">
      <alignment vertical="center" wrapText="1"/>
    </xf>
    <xf numFmtId="0" fontId="0" fillId="0" borderId="27" xfId="0" applyNumberFormat="1" applyBorder="1" applyAlignment="1">
      <alignment vertical="center" wrapText="1"/>
    </xf>
    <xf numFmtId="0" fontId="0" fillId="0" borderId="8" xfId="0" applyNumberFormat="1" applyBorder="1" applyAlignment="1">
      <alignment vertical="center" wrapText="1"/>
    </xf>
    <xf numFmtId="0" fontId="0" fillId="0" borderId="17" xfId="0" applyNumberFormat="1" applyBorder="1" applyAlignment="1">
      <alignment vertical="center" wrapText="1"/>
    </xf>
    <xf numFmtId="0" fontId="0" fillId="0" borderId="21" xfId="0" applyNumberFormat="1" applyBorder="1" applyAlignment="1">
      <alignment vertical="center" wrapText="1"/>
    </xf>
    <xf numFmtId="0" fontId="0" fillId="0" borderId="18" xfId="0" applyNumberFormat="1" applyBorder="1" applyAlignment="1">
      <alignment vertical="center" wrapText="1"/>
    </xf>
    <xf numFmtId="0" fontId="0" fillId="0" borderId="12" xfId="0" applyNumberFormat="1" applyBorder="1" applyAlignment="1">
      <alignment vertical="center" wrapText="1"/>
    </xf>
    <xf numFmtId="0" fontId="0" fillId="0" borderId="19" xfId="0" applyNumberFormat="1" applyBorder="1" applyAlignment="1">
      <alignment vertical="center" wrapText="1"/>
    </xf>
    <xf numFmtId="165" fontId="1" fillId="0" borderId="1" xfId="0" applyNumberFormat="1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165" fontId="0" fillId="0" borderId="1" xfId="0" applyNumberForma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196"/>
  <sheetViews>
    <sheetView tabSelected="1" topLeftCell="A176" workbookViewId="0">
      <selection activeCell="E156" sqref="E156"/>
    </sheetView>
  </sheetViews>
  <sheetFormatPr defaultRowHeight="15" outlineLevelRow="2" x14ac:dyDescent="0.25"/>
  <cols>
    <col min="1" max="1" width="10.42578125" style="2" customWidth="1"/>
    <col min="2" max="5" width="11.5703125" style="2" bestFit="1" customWidth="1"/>
    <col min="6" max="6" width="11.5703125" style="2" customWidth="1"/>
    <col min="7" max="7" width="11.5703125" style="2" bestFit="1" customWidth="1"/>
    <col min="8" max="13" width="11.5703125" style="13" bestFit="1" customWidth="1"/>
    <col min="14" max="16384" width="9.140625" style="13"/>
  </cols>
  <sheetData>
    <row r="1" spans="1:7" ht="15" customHeight="1" x14ac:dyDescent="0.25">
      <c r="A1" s="102" t="s">
        <v>0</v>
      </c>
      <c r="B1" s="102"/>
      <c r="C1" s="102"/>
      <c r="D1" s="102"/>
      <c r="E1" s="102"/>
      <c r="F1" s="102"/>
      <c r="G1" s="14"/>
    </row>
    <row r="2" spans="1:7" ht="15" hidden="1" customHeight="1" outlineLevel="1" x14ac:dyDescent="0.25">
      <c r="A2" s="98" t="s">
        <v>1</v>
      </c>
      <c r="B2" s="98"/>
      <c r="C2" s="98"/>
      <c r="D2" s="98"/>
      <c r="E2" s="98"/>
      <c r="F2" s="98"/>
    </row>
    <row r="3" spans="1:7" ht="15" hidden="1" customHeight="1" outlineLevel="1" x14ac:dyDescent="0.25">
      <c r="A3" s="3">
        <v>1</v>
      </c>
      <c r="B3" s="3">
        <v>2</v>
      </c>
      <c r="C3" s="3">
        <v>3</v>
      </c>
      <c r="D3" s="3">
        <v>4</v>
      </c>
      <c r="E3" s="3" t="s">
        <v>5</v>
      </c>
      <c r="F3" s="3" t="s">
        <v>3</v>
      </c>
    </row>
    <row r="4" spans="1:7" ht="15" hidden="1" customHeight="1" outlineLevel="1" x14ac:dyDescent="0.25">
      <c r="A4" s="3">
        <v>2</v>
      </c>
      <c r="B4" s="1">
        <v>1</v>
      </c>
      <c r="C4" s="1">
        <v>7</v>
      </c>
      <c r="D4" s="1">
        <v>3</v>
      </c>
      <c r="E4" s="1">
        <f>GEOMEAN(B4:D4)</f>
        <v>2.7589241763811208</v>
      </c>
      <c r="F4" s="3">
        <f>E4/SUM(E$4:E$6)</f>
        <v>0.66941686944898782</v>
      </c>
    </row>
    <row r="5" spans="1:7" ht="15" hidden="1" customHeight="1" outlineLevel="1" x14ac:dyDescent="0.25">
      <c r="A5" s="3">
        <v>3</v>
      </c>
      <c r="B5" s="1">
        <f>1/7</f>
        <v>0.14285714285714285</v>
      </c>
      <c r="C5" s="1">
        <v>1</v>
      </c>
      <c r="D5" s="1">
        <f>1/3</f>
        <v>0.33333333333333331</v>
      </c>
      <c r="E5" s="1">
        <f t="shared" ref="E5:E6" si="0">GEOMEAN(B5:D5)</f>
        <v>0.36246012433429736</v>
      </c>
      <c r="F5" s="3">
        <f t="shared" ref="F5:F6" si="1">E5/SUM(E$4:E$6)</f>
        <v>8.7946208819056029E-2</v>
      </c>
    </row>
    <row r="6" spans="1:7" ht="15" hidden="1" customHeight="1" outlineLevel="1" x14ac:dyDescent="0.25">
      <c r="A6" s="3">
        <v>4</v>
      </c>
      <c r="B6" s="1">
        <f>1/3</f>
        <v>0.33333333333333331</v>
      </c>
      <c r="C6" s="1">
        <v>3</v>
      </c>
      <c r="D6" s="1">
        <v>1</v>
      </c>
      <c r="E6" s="1">
        <f t="shared" si="0"/>
        <v>1</v>
      </c>
      <c r="F6" s="3">
        <f t="shared" si="1"/>
        <v>0.24263692173195622</v>
      </c>
    </row>
    <row r="7" spans="1:7" ht="15" hidden="1" customHeight="1" outlineLevel="1" x14ac:dyDescent="0.25"/>
    <row r="8" spans="1:7" ht="15" hidden="1" customHeight="1" outlineLevel="1" x14ac:dyDescent="0.25">
      <c r="A8" s="98" t="s">
        <v>4</v>
      </c>
      <c r="B8" s="98"/>
      <c r="C8" s="98"/>
      <c r="D8" s="98"/>
      <c r="E8" s="98"/>
      <c r="F8" s="98"/>
    </row>
    <row r="9" spans="1:7" ht="15" hidden="1" customHeight="1" outlineLevel="1" x14ac:dyDescent="0.25">
      <c r="A9" s="3">
        <v>2</v>
      </c>
      <c r="B9" s="3">
        <v>3</v>
      </c>
      <c r="C9" s="3">
        <v>4</v>
      </c>
      <c r="D9" s="3" t="s">
        <v>5</v>
      </c>
      <c r="E9" s="3" t="s">
        <v>2</v>
      </c>
    </row>
    <row r="10" spans="1:7" ht="15" hidden="1" customHeight="1" outlineLevel="1" x14ac:dyDescent="0.25">
      <c r="A10" s="3">
        <v>3</v>
      </c>
      <c r="B10" s="1">
        <v>1</v>
      </c>
      <c r="C10" s="1">
        <v>5</v>
      </c>
      <c r="D10" s="1">
        <f>GEOMEAN(B10:C10)</f>
        <v>2.2360679774997898</v>
      </c>
      <c r="E10" s="3">
        <f>D10/SUM(D$10:D$11)</f>
        <v>0.83333333333333337</v>
      </c>
    </row>
    <row r="11" spans="1:7" ht="15" hidden="1" customHeight="1" outlineLevel="1" x14ac:dyDescent="0.25">
      <c r="A11" s="3">
        <v>4</v>
      </c>
      <c r="B11" s="1">
        <f>1/5</f>
        <v>0.2</v>
      </c>
      <c r="C11" s="1">
        <v>1</v>
      </c>
      <c r="D11" s="1">
        <f>GEOMEAN(B11:C11)</f>
        <v>0.44721359549995793</v>
      </c>
      <c r="E11" s="3">
        <f>D11/SUM(D$10:D$11)</f>
        <v>0.16666666666666666</v>
      </c>
    </row>
    <row r="12" spans="1:7" ht="15" hidden="1" customHeight="1" outlineLevel="1" x14ac:dyDescent="0.25"/>
    <row r="13" spans="1:7" ht="15" hidden="1" customHeight="1" outlineLevel="1" x14ac:dyDescent="0.25">
      <c r="A13" s="98" t="s">
        <v>6</v>
      </c>
      <c r="B13" s="98"/>
      <c r="C13" s="98"/>
      <c r="D13" s="98"/>
      <c r="E13" s="98"/>
      <c r="F13" s="98"/>
    </row>
    <row r="14" spans="1:7" ht="15" hidden="1" customHeight="1" outlineLevel="1" x14ac:dyDescent="0.25">
      <c r="A14" s="3"/>
      <c r="B14" s="3">
        <v>1</v>
      </c>
      <c r="C14" s="3">
        <v>2</v>
      </c>
      <c r="D14" s="3">
        <v>3</v>
      </c>
      <c r="E14" s="3">
        <v>4</v>
      </c>
    </row>
    <row r="15" spans="1:7" ht="15" hidden="1" customHeight="1" outlineLevel="1" x14ac:dyDescent="0.25">
      <c r="A15" s="3">
        <v>1</v>
      </c>
      <c r="B15" s="1">
        <v>0</v>
      </c>
      <c r="C15" s="1">
        <v>0</v>
      </c>
      <c r="D15" s="1">
        <v>0</v>
      </c>
      <c r="E15" s="1">
        <v>1</v>
      </c>
    </row>
    <row r="16" spans="1:7" ht="15" hidden="1" customHeight="1" outlineLevel="1" x14ac:dyDescent="0.25">
      <c r="A16" s="3">
        <v>2</v>
      </c>
      <c r="B16" s="1">
        <f>F4</f>
        <v>0.66941686944898782</v>
      </c>
      <c r="C16" s="1">
        <v>0</v>
      </c>
      <c r="D16" s="1">
        <v>0</v>
      </c>
      <c r="E16" s="1">
        <v>0</v>
      </c>
    </row>
    <row r="17" spans="1:6" ht="15" hidden="1" customHeight="1" outlineLevel="1" x14ac:dyDescent="0.25">
      <c r="A17" s="3">
        <v>3</v>
      </c>
      <c r="B17" s="1">
        <f t="shared" ref="B17:B18" si="2">F5</f>
        <v>8.7946208819056029E-2</v>
      </c>
      <c r="C17" s="1">
        <f>E10</f>
        <v>0.83333333333333337</v>
      </c>
      <c r="D17" s="1">
        <v>0</v>
      </c>
      <c r="E17" s="1">
        <v>0</v>
      </c>
    </row>
    <row r="18" spans="1:6" ht="15" hidden="1" customHeight="1" outlineLevel="1" x14ac:dyDescent="0.25">
      <c r="A18" s="3">
        <v>4</v>
      </c>
      <c r="B18" s="1">
        <f t="shared" si="2"/>
        <v>0.24263692173195622</v>
      </c>
      <c r="C18" s="1">
        <f>E11</f>
        <v>0.16666666666666666</v>
      </c>
      <c r="D18" s="1">
        <v>1</v>
      </c>
      <c r="E18" s="1">
        <v>0</v>
      </c>
    </row>
    <row r="19" spans="1:6" collapsed="1" x14ac:dyDescent="0.25"/>
    <row r="20" spans="1:6" x14ac:dyDescent="0.25">
      <c r="A20" s="102" t="s">
        <v>7</v>
      </c>
      <c r="B20" s="102"/>
      <c r="C20" s="102"/>
      <c r="D20" s="102"/>
      <c r="E20" s="102"/>
      <c r="F20" s="102"/>
    </row>
    <row r="21" spans="1:6" x14ac:dyDescent="0.25">
      <c r="A21" s="12"/>
      <c r="B21" s="12"/>
      <c r="C21" s="12"/>
      <c r="D21" s="12"/>
      <c r="E21" s="12"/>
      <c r="F21" s="12"/>
    </row>
    <row r="22" spans="1:6" x14ac:dyDescent="0.25">
      <c r="A22" s="98" t="s">
        <v>8</v>
      </c>
      <c r="B22" s="98"/>
      <c r="C22" s="98"/>
      <c r="D22" s="98"/>
      <c r="E22" s="98"/>
      <c r="F22" s="98"/>
    </row>
    <row r="23" spans="1:6" ht="15" hidden="1" customHeight="1" outlineLevel="1" x14ac:dyDescent="0.25">
      <c r="A23" s="15"/>
      <c r="B23" s="15"/>
      <c r="C23" s="15"/>
      <c r="D23" s="15"/>
      <c r="E23" s="15"/>
      <c r="F23" s="15"/>
    </row>
    <row r="24" spans="1:6" ht="15" hidden="1" customHeight="1" outlineLevel="2" x14ac:dyDescent="0.25">
      <c r="A24" s="50">
        <v>1.1000000000000001</v>
      </c>
      <c r="B24" s="3">
        <v>2.1</v>
      </c>
      <c r="C24" s="3">
        <v>2.2000000000000002</v>
      </c>
      <c r="D24" s="3">
        <v>2.2999999999999998</v>
      </c>
      <c r="E24" s="3" t="s">
        <v>5</v>
      </c>
      <c r="F24" s="3" t="s">
        <v>2</v>
      </c>
    </row>
    <row r="25" spans="1:6" ht="15" hidden="1" customHeight="1" outlineLevel="2" x14ac:dyDescent="0.25">
      <c r="A25" s="3">
        <v>2.1</v>
      </c>
      <c r="B25" s="1">
        <v>1</v>
      </c>
      <c r="C25" s="1">
        <v>2</v>
      </c>
      <c r="D25" s="1">
        <f>1/5</f>
        <v>0.2</v>
      </c>
      <c r="E25" s="1">
        <f>GEOMEAN(B25:D25)</f>
        <v>0.73680629972807732</v>
      </c>
      <c r="F25" s="3">
        <f>E25/SUM(E$25:E$27)</f>
        <v>0.19630685782358659</v>
      </c>
    </row>
    <row r="26" spans="1:6" ht="15" hidden="1" customHeight="1" outlineLevel="2" x14ac:dyDescent="0.25">
      <c r="A26" s="3">
        <v>2.2000000000000002</v>
      </c>
      <c r="B26" s="1">
        <f>1/2</f>
        <v>0.5</v>
      </c>
      <c r="C26" s="1">
        <v>1</v>
      </c>
      <c r="D26" s="1">
        <f>1/3</f>
        <v>0.33333333333333331</v>
      </c>
      <c r="E26" s="1">
        <f t="shared" ref="E26:E27" si="3">GEOMEAN(B26:D26)</f>
        <v>0.55032120814910446</v>
      </c>
      <c r="F26" s="3">
        <f t="shared" ref="F26:F27" si="4">E26/SUM(E$25:E$27)</f>
        <v>0.14662174740539058</v>
      </c>
    </row>
    <row r="27" spans="1:6" ht="15" hidden="1" customHeight="1" outlineLevel="2" x14ac:dyDescent="0.25">
      <c r="A27" s="3">
        <v>2.2999999999999998</v>
      </c>
      <c r="B27" s="1">
        <v>5</v>
      </c>
      <c r="C27" s="1">
        <v>3</v>
      </c>
      <c r="D27" s="1">
        <v>1</v>
      </c>
      <c r="E27" s="1">
        <f t="shared" si="3"/>
        <v>2.4662120743304699</v>
      </c>
      <c r="F27" s="3">
        <f t="shared" si="4"/>
        <v>0.65707139477102294</v>
      </c>
    </row>
    <row r="28" spans="1:6" ht="15" hidden="1" customHeight="1" outlineLevel="2" x14ac:dyDescent="0.25"/>
    <row r="29" spans="1:6" ht="15" hidden="1" customHeight="1" outlineLevel="2" x14ac:dyDescent="0.25">
      <c r="A29" s="50">
        <v>1.2</v>
      </c>
      <c r="B29" s="3">
        <v>2.1</v>
      </c>
      <c r="C29" s="3">
        <v>2.2000000000000002</v>
      </c>
      <c r="D29" s="3">
        <v>2.2999999999999998</v>
      </c>
      <c r="E29" s="3" t="s">
        <v>5</v>
      </c>
      <c r="F29" s="3" t="s">
        <v>2</v>
      </c>
    </row>
    <row r="30" spans="1:6" ht="15" hidden="1" customHeight="1" outlineLevel="2" x14ac:dyDescent="0.25">
      <c r="A30" s="3">
        <v>2.1</v>
      </c>
      <c r="B30" s="1">
        <v>1</v>
      </c>
      <c r="C30" s="1">
        <v>2</v>
      </c>
      <c r="D30" s="1">
        <f>1/4</f>
        <v>0.25</v>
      </c>
      <c r="E30" s="1">
        <f>GEOMEAN(B30:D30)</f>
        <v>0.79370052598409979</v>
      </c>
      <c r="F30" s="3">
        <f>E30/SUM(E$30:E$32)</f>
        <v>0.2318280093083816</v>
      </c>
    </row>
    <row r="31" spans="1:6" ht="15" hidden="1" customHeight="1" outlineLevel="2" x14ac:dyDescent="0.25">
      <c r="A31" s="3">
        <v>2.2000000000000002</v>
      </c>
      <c r="B31" s="1">
        <f>1/2</f>
        <v>0.5</v>
      </c>
      <c r="C31" s="1">
        <v>1</v>
      </c>
      <c r="D31" s="1">
        <f>1/2</f>
        <v>0.5</v>
      </c>
      <c r="E31" s="1">
        <f t="shared" ref="E31:E32" si="5">GEOMEAN(B31:D31)</f>
        <v>0.6299605249474366</v>
      </c>
      <c r="F31" s="3">
        <f t="shared" ref="F31:F32" si="6">E31/SUM(E$30:E$32)</f>
        <v>0.18400201292590926</v>
      </c>
    </row>
    <row r="32" spans="1:6" ht="15" hidden="1" customHeight="1" outlineLevel="2" x14ac:dyDescent="0.25">
      <c r="A32" s="3">
        <v>2.2999999999999998</v>
      </c>
      <c r="B32" s="1">
        <v>4</v>
      </c>
      <c r="C32" s="1">
        <v>2</v>
      </c>
      <c r="D32" s="1">
        <v>1</v>
      </c>
      <c r="E32" s="1">
        <f t="shared" si="5"/>
        <v>2</v>
      </c>
      <c r="F32" s="3">
        <f t="shared" si="6"/>
        <v>0.58416997776570911</v>
      </c>
    </row>
    <row r="33" spans="1:6" ht="15" hidden="1" customHeight="1" outlineLevel="2" x14ac:dyDescent="0.25"/>
    <row r="34" spans="1:6" ht="15" hidden="1" customHeight="1" outlineLevel="2" x14ac:dyDescent="0.25">
      <c r="A34" s="50">
        <v>1.3</v>
      </c>
      <c r="B34" s="3">
        <v>2.1</v>
      </c>
      <c r="C34" s="3">
        <v>2.2000000000000002</v>
      </c>
      <c r="D34" s="3">
        <v>2.2999999999999998</v>
      </c>
      <c r="E34" s="3" t="s">
        <v>5</v>
      </c>
      <c r="F34" s="3" t="s">
        <v>2</v>
      </c>
    </row>
    <row r="35" spans="1:6" ht="15" hidden="1" customHeight="1" outlineLevel="2" x14ac:dyDescent="0.25">
      <c r="A35" s="3">
        <v>2.1</v>
      </c>
      <c r="B35" s="1">
        <v>1</v>
      </c>
      <c r="C35" s="1">
        <f>1/3</f>
        <v>0.33333333333333331</v>
      </c>
      <c r="D35" s="1">
        <v>2</v>
      </c>
      <c r="E35" s="1">
        <f>GEOMEAN(B35:D35)</f>
        <v>0.87358046473629891</v>
      </c>
      <c r="F35" s="3">
        <f>E35/SUM(E$35:E$37)</f>
        <v>0.23848712266284533</v>
      </c>
    </row>
    <row r="36" spans="1:6" ht="15" hidden="1" customHeight="1" outlineLevel="2" x14ac:dyDescent="0.25">
      <c r="A36" s="3">
        <v>2.2000000000000002</v>
      </c>
      <c r="B36" s="1">
        <v>3</v>
      </c>
      <c r="C36" s="1">
        <v>1</v>
      </c>
      <c r="D36" s="1">
        <v>4</v>
      </c>
      <c r="E36" s="1">
        <f t="shared" ref="E36:E37" si="7">GEOMEAN(B36:D36)</f>
        <v>2.2894284851066637</v>
      </c>
      <c r="F36" s="3">
        <f t="shared" ref="F36:F37" si="8">E36/SUM(E$35:E$37)</f>
        <v>0.62501307434829345</v>
      </c>
    </row>
    <row r="37" spans="1:6" ht="15" hidden="1" customHeight="1" outlineLevel="2" x14ac:dyDescent="0.25">
      <c r="A37" s="3">
        <v>2.2999999999999998</v>
      </c>
      <c r="B37" s="1">
        <f>1/2</f>
        <v>0.5</v>
      </c>
      <c r="C37" s="1">
        <f>1/4</f>
        <v>0.25</v>
      </c>
      <c r="D37" s="1">
        <v>1</v>
      </c>
      <c r="E37" s="1">
        <f t="shared" si="7"/>
        <v>0.5</v>
      </c>
      <c r="F37" s="3">
        <f t="shared" si="8"/>
        <v>0.13649980298886127</v>
      </c>
    </row>
    <row r="38" spans="1:6" ht="15" hidden="1" customHeight="1" outlineLevel="1" collapsed="1" x14ac:dyDescent="0.25"/>
    <row r="39" spans="1:6" ht="15" hidden="1" customHeight="1" outlineLevel="2" x14ac:dyDescent="0.25">
      <c r="A39" s="50">
        <v>1.1000000000000001</v>
      </c>
      <c r="B39" s="3">
        <v>3.1</v>
      </c>
      <c r="C39" s="3">
        <v>3.2</v>
      </c>
      <c r="D39" s="3">
        <v>3.3</v>
      </c>
      <c r="E39" s="3" t="s">
        <v>5</v>
      </c>
      <c r="F39" s="3" t="s">
        <v>2</v>
      </c>
    </row>
    <row r="40" spans="1:6" ht="15" hidden="1" customHeight="1" outlineLevel="2" x14ac:dyDescent="0.25">
      <c r="A40" s="3">
        <v>3.1</v>
      </c>
      <c r="B40" s="1">
        <v>1</v>
      </c>
      <c r="C40" s="1">
        <f>1/3</f>
        <v>0.33333333333333331</v>
      </c>
      <c r="D40" s="1">
        <f>1/3</f>
        <v>0.33333333333333331</v>
      </c>
      <c r="E40" s="1">
        <f>GEOMEAN(B40:D40)</f>
        <v>0.48074985676913612</v>
      </c>
      <c r="F40" s="3">
        <f>E40/SUM(E$40:E$42)</f>
        <v>0.13964793890611579</v>
      </c>
    </row>
    <row r="41" spans="1:6" ht="15" hidden="1" customHeight="1" outlineLevel="2" x14ac:dyDescent="0.25">
      <c r="A41" s="3">
        <v>3.2</v>
      </c>
      <c r="B41" s="1">
        <v>3</v>
      </c>
      <c r="C41" s="1">
        <v>1</v>
      </c>
      <c r="D41" s="1">
        <f>1/2</f>
        <v>0.5</v>
      </c>
      <c r="E41" s="1">
        <f t="shared" ref="E41:E42" si="9">GEOMEAN(B41:D41)</f>
        <v>1.1447142425533319</v>
      </c>
      <c r="F41" s="3">
        <f t="shared" ref="F41:F42" si="10">E41/SUM(E$40:E$42)</f>
        <v>0.33251592768713861</v>
      </c>
    </row>
    <row r="42" spans="1:6" ht="15" hidden="1" customHeight="1" outlineLevel="2" x14ac:dyDescent="0.25">
      <c r="A42" s="3">
        <v>3.3</v>
      </c>
      <c r="B42" s="1">
        <v>3</v>
      </c>
      <c r="C42" s="1">
        <v>2</v>
      </c>
      <c r="D42" s="1">
        <v>1</v>
      </c>
      <c r="E42" s="1">
        <f t="shared" si="9"/>
        <v>1.8171205928321397</v>
      </c>
      <c r="F42" s="3">
        <f t="shared" si="10"/>
        <v>0.52783613340674562</v>
      </c>
    </row>
    <row r="43" spans="1:6" ht="15" hidden="1" customHeight="1" outlineLevel="2" x14ac:dyDescent="0.25"/>
    <row r="44" spans="1:6" ht="15" hidden="1" customHeight="1" outlineLevel="2" x14ac:dyDescent="0.25">
      <c r="A44" s="50">
        <v>1.2</v>
      </c>
      <c r="B44" s="3">
        <v>3.1</v>
      </c>
      <c r="C44" s="3">
        <v>3.2</v>
      </c>
      <c r="D44" s="3">
        <v>3.3</v>
      </c>
      <c r="E44" s="3" t="s">
        <v>5</v>
      </c>
      <c r="F44" s="3" t="s">
        <v>2</v>
      </c>
    </row>
    <row r="45" spans="1:6" ht="15" hidden="1" customHeight="1" outlineLevel="2" x14ac:dyDescent="0.25">
      <c r="A45" s="3">
        <v>3.1</v>
      </c>
      <c r="B45" s="1">
        <v>1</v>
      </c>
      <c r="C45" s="1">
        <f>1/3</f>
        <v>0.33333333333333331</v>
      </c>
      <c r="D45" s="1">
        <f>1/2</f>
        <v>0.5</v>
      </c>
      <c r="E45" s="1">
        <f>GEOMEAN(B45:D45)</f>
        <v>0.55032120814910446</v>
      </c>
      <c r="F45" s="3">
        <f>E45/SUM(E$45:E$47)</f>
        <v>0.16765631496644506</v>
      </c>
    </row>
    <row r="46" spans="1:6" ht="15" hidden="1" customHeight="1" outlineLevel="2" x14ac:dyDescent="0.25">
      <c r="A46" s="3">
        <v>3.2</v>
      </c>
      <c r="B46" s="1">
        <v>3</v>
      </c>
      <c r="C46" s="1">
        <v>1</v>
      </c>
      <c r="D46" s="1">
        <f>1/2</f>
        <v>0.5</v>
      </c>
      <c r="E46" s="1">
        <f t="shared" ref="E46:E47" si="11">GEOMEAN(B46:D46)</f>
        <v>1.1447142425533319</v>
      </c>
      <c r="F46" s="3">
        <f t="shared" ref="F46:F47" si="12">E46/SUM(E$45:E$47)</f>
        <v>0.34873918859419722</v>
      </c>
    </row>
    <row r="47" spans="1:6" ht="15" hidden="1" customHeight="1" outlineLevel="2" x14ac:dyDescent="0.25">
      <c r="A47" s="3">
        <v>3.3</v>
      </c>
      <c r="B47" s="1">
        <v>2</v>
      </c>
      <c r="C47" s="1">
        <v>2</v>
      </c>
      <c r="D47" s="1">
        <v>1</v>
      </c>
      <c r="E47" s="1">
        <f t="shared" si="11"/>
        <v>1.5874010519681994</v>
      </c>
      <c r="F47" s="3">
        <f t="shared" si="12"/>
        <v>0.48360449643935777</v>
      </c>
    </row>
    <row r="48" spans="1:6" ht="15" hidden="1" customHeight="1" outlineLevel="2" x14ac:dyDescent="0.25"/>
    <row r="49" spans="1:6" ht="15" hidden="1" customHeight="1" outlineLevel="2" x14ac:dyDescent="0.25">
      <c r="A49" s="50">
        <v>1.3</v>
      </c>
      <c r="B49" s="3">
        <v>3.1</v>
      </c>
      <c r="C49" s="3">
        <v>3.2</v>
      </c>
      <c r="D49" s="3">
        <v>3.3</v>
      </c>
      <c r="E49" s="3" t="s">
        <v>5</v>
      </c>
      <c r="F49" s="3" t="s">
        <v>2</v>
      </c>
    </row>
    <row r="50" spans="1:6" ht="15" hidden="1" customHeight="1" outlineLevel="2" x14ac:dyDescent="0.25">
      <c r="A50" s="3">
        <v>3.1</v>
      </c>
      <c r="B50" s="1">
        <v>1</v>
      </c>
      <c r="C50" s="1">
        <f>1/5</f>
        <v>0.2</v>
      </c>
      <c r="D50" s="1">
        <f>1/2</f>
        <v>0.5</v>
      </c>
      <c r="E50" s="1">
        <f>GEOMEAN(B50:D50)</f>
        <v>0.46415888336127792</v>
      </c>
      <c r="F50" s="3">
        <f>E50/SUM(E$50:E$52)</f>
        <v>0.13106737421512862</v>
      </c>
    </row>
    <row r="51" spans="1:6" ht="15" hidden="1" customHeight="1" outlineLevel="2" x14ac:dyDescent="0.25">
      <c r="A51" s="3">
        <v>3.2</v>
      </c>
      <c r="B51" s="1">
        <v>5</v>
      </c>
      <c r="C51" s="1">
        <v>1</v>
      </c>
      <c r="D51" s="1">
        <f>1/4</f>
        <v>0.25</v>
      </c>
      <c r="E51" s="1">
        <f t="shared" ref="E51:E52" si="13">GEOMEAN(B51:D51)</f>
        <v>1.0772173450159419</v>
      </c>
      <c r="F51" s="3">
        <f t="shared" ref="F51:F52" si="14">E51/SUM(E$50:E$52)</f>
        <v>0.30418043030394426</v>
      </c>
    </row>
    <row r="52" spans="1:6" ht="15" hidden="1" customHeight="1" outlineLevel="2" x14ac:dyDescent="0.25">
      <c r="A52" s="3">
        <v>3.3</v>
      </c>
      <c r="B52" s="1">
        <v>2</v>
      </c>
      <c r="C52" s="1">
        <v>4</v>
      </c>
      <c r="D52" s="1">
        <v>1</v>
      </c>
      <c r="E52" s="1">
        <f t="shared" si="13"/>
        <v>2</v>
      </c>
      <c r="F52" s="3">
        <f t="shared" si="14"/>
        <v>0.56475219548092714</v>
      </c>
    </row>
    <row r="53" spans="1:6" ht="15" hidden="1" customHeight="1" outlineLevel="1" collapsed="1" x14ac:dyDescent="0.25"/>
    <row r="54" spans="1:6" ht="15" hidden="1" customHeight="1" outlineLevel="2" x14ac:dyDescent="0.25">
      <c r="A54" s="50">
        <v>1.1000000000000001</v>
      </c>
      <c r="B54" s="3">
        <v>4.0999999999999996</v>
      </c>
      <c r="C54" s="3">
        <v>4.2</v>
      </c>
      <c r="D54" s="3">
        <v>4.3</v>
      </c>
      <c r="E54" s="3" t="s">
        <v>5</v>
      </c>
      <c r="F54" s="3" t="s">
        <v>2</v>
      </c>
    </row>
    <row r="55" spans="1:6" ht="15" hidden="1" customHeight="1" outlineLevel="2" x14ac:dyDescent="0.25">
      <c r="A55" s="3">
        <v>4.0999999999999996</v>
      </c>
      <c r="B55" s="1">
        <v>1</v>
      </c>
      <c r="C55" s="1">
        <v>3</v>
      </c>
      <c r="D55" s="1">
        <v>2</v>
      </c>
      <c r="E55" s="1">
        <f>GEOMEAN(B55:D55)</f>
        <v>1.8171205928321397</v>
      </c>
      <c r="F55" s="3">
        <f>E55/SUM(E$55:E$57)</f>
        <v>0.50760259044188405</v>
      </c>
    </row>
    <row r="56" spans="1:6" ht="15" hidden="1" customHeight="1" outlineLevel="2" x14ac:dyDescent="0.25">
      <c r="A56" s="3">
        <v>4.2</v>
      </c>
      <c r="B56" s="1">
        <f>1/3</f>
        <v>0.33333333333333331</v>
      </c>
      <c r="C56" s="1">
        <v>1</v>
      </c>
      <c r="D56" s="1">
        <f>1/5</f>
        <v>0.2</v>
      </c>
      <c r="E56" s="1">
        <f t="shared" ref="E56:E57" si="15">GEOMEAN(B56:D56)</f>
        <v>0.40548013303822666</v>
      </c>
      <c r="F56" s="3">
        <f t="shared" ref="F56:F57" si="16">E56/SUM(E$55:E$57)</f>
        <v>0.11326863319628724</v>
      </c>
    </row>
    <row r="57" spans="1:6" ht="15" hidden="1" customHeight="1" outlineLevel="2" x14ac:dyDescent="0.25">
      <c r="A57" s="3">
        <v>4.3</v>
      </c>
      <c r="B57" s="1">
        <f>1/2</f>
        <v>0.5</v>
      </c>
      <c r="C57" s="1">
        <v>5</v>
      </c>
      <c r="D57" s="1">
        <v>1</v>
      </c>
      <c r="E57" s="1">
        <f t="shared" si="15"/>
        <v>1.3572088082974534</v>
      </c>
      <c r="F57" s="3">
        <f t="shared" si="16"/>
        <v>0.37912877636182868</v>
      </c>
    </row>
    <row r="58" spans="1:6" ht="15" hidden="1" customHeight="1" outlineLevel="2" x14ac:dyDescent="0.25"/>
    <row r="59" spans="1:6" ht="15" hidden="1" customHeight="1" outlineLevel="2" x14ac:dyDescent="0.25">
      <c r="A59" s="50">
        <v>1.2</v>
      </c>
      <c r="B59" s="3">
        <v>4.0999999999999996</v>
      </c>
      <c r="C59" s="3">
        <v>4.2</v>
      </c>
      <c r="D59" s="3">
        <v>4.3</v>
      </c>
      <c r="E59" s="3" t="s">
        <v>5</v>
      </c>
      <c r="F59" s="3" t="s">
        <v>2</v>
      </c>
    </row>
    <row r="60" spans="1:6" ht="15" hidden="1" customHeight="1" outlineLevel="2" x14ac:dyDescent="0.25">
      <c r="A60" s="3">
        <v>4.0999999999999996</v>
      </c>
      <c r="B60" s="1">
        <v>1</v>
      </c>
      <c r="C60" s="1">
        <v>5</v>
      </c>
      <c r="D60" s="1">
        <v>3</v>
      </c>
      <c r="E60" s="1">
        <f>GEOMEAN(B60:D60)</f>
        <v>2.4662120743304699</v>
      </c>
      <c r="F60" s="3">
        <f>E60/SUM(E$60:E$62)</f>
        <v>0.6092476941173457</v>
      </c>
    </row>
    <row r="61" spans="1:6" ht="15" hidden="1" customHeight="1" outlineLevel="2" x14ac:dyDescent="0.25">
      <c r="A61" s="3">
        <v>4.2</v>
      </c>
      <c r="B61" s="1">
        <f>1/5</f>
        <v>0.2</v>
      </c>
      <c r="C61" s="1">
        <v>1</v>
      </c>
      <c r="D61" s="1">
        <f>1/6</f>
        <v>0.16666666666666666</v>
      </c>
      <c r="E61" s="1">
        <f t="shared" ref="E61:E62" si="17">GEOMEAN(B61:D61)</f>
        <v>0.32182979486854324</v>
      </c>
      <c r="F61" s="3">
        <f t="shared" ref="F61:F62" si="18">E61/SUM(E$60:E$62)</f>
        <v>7.9504136105224749E-2</v>
      </c>
    </row>
    <row r="62" spans="1:6" ht="15" hidden="1" customHeight="1" outlineLevel="2" x14ac:dyDescent="0.25">
      <c r="A62" s="3">
        <v>4.3</v>
      </c>
      <c r="B62" s="1">
        <f>1/3</f>
        <v>0.33333333333333331</v>
      </c>
      <c r="C62" s="1">
        <v>6</v>
      </c>
      <c r="D62" s="1">
        <v>1</v>
      </c>
      <c r="E62" s="1">
        <f t="shared" si="17"/>
        <v>1.2599210498948732</v>
      </c>
      <c r="F62" s="3">
        <f t="shared" si="18"/>
        <v>0.31124816977742953</v>
      </c>
    </row>
    <row r="63" spans="1:6" ht="15" hidden="1" customHeight="1" outlineLevel="2" x14ac:dyDescent="0.25"/>
    <row r="64" spans="1:6" ht="15" hidden="1" customHeight="1" outlineLevel="2" x14ac:dyDescent="0.25">
      <c r="A64" s="50">
        <v>1.3</v>
      </c>
      <c r="B64" s="3">
        <v>4.0999999999999996</v>
      </c>
      <c r="C64" s="3">
        <v>4.2</v>
      </c>
      <c r="D64" s="3">
        <v>4.3</v>
      </c>
      <c r="E64" s="3" t="s">
        <v>5</v>
      </c>
      <c r="F64" s="3" t="s">
        <v>2</v>
      </c>
    </row>
    <row r="65" spans="1:6" ht="15" hidden="1" customHeight="1" outlineLevel="2" x14ac:dyDescent="0.25">
      <c r="A65" s="3">
        <v>4.0999999999999996</v>
      </c>
      <c r="B65" s="1">
        <v>1</v>
      </c>
      <c r="C65" s="1">
        <v>4</v>
      </c>
      <c r="D65" s="1">
        <f>1/2</f>
        <v>0.5</v>
      </c>
      <c r="E65" s="1">
        <f>GEOMEAN(B65:D65)</f>
        <v>1.2599210498948732</v>
      </c>
      <c r="F65" s="3">
        <f>E65/SUM(E$65:E$67)</f>
        <v>0.32338585540032133</v>
      </c>
    </row>
    <row r="66" spans="1:6" ht="15" hidden="1" customHeight="1" outlineLevel="2" x14ac:dyDescent="0.25">
      <c r="A66" s="3">
        <v>4.2</v>
      </c>
      <c r="B66" s="1">
        <f>1/4</f>
        <v>0.25</v>
      </c>
      <c r="C66" s="1">
        <v>1</v>
      </c>
      <c r="D66" s="1">
        <f>1/6</f>
        <v>0.16666666666666666</v>
      </c>
      <c r="E66" s="1">
        <f t="shared" ref="E66:E67" si="19">GEOMEAN(B66:D66)</f>
        <v>0.34668063717531733</v>
      </c>
      <c r="F66" s="3">
        <f t="shared" ref="F66:F67" si="20">E66/SUM(E$65:E$67)</f>
        <v>8.8983047321118211E-2</v>
      </c>
    </row>
    <row r="67" spans="1:6" ht="15" hidden="1" customHeight="1" outlineLevel="2" x14ac:dyDescent="0.25">
      <c r="A67" s="3">
        <v>4.3</v>
      </c>
      <c r="B67" s="1">
        <v>2</v>
      </c>
      <c r="C67" s="1">
        <v>6</v>
      </c>
      <c r="D67" s="1">
        <v>1</v>
      </c>
      <c r="E67" s="1">
        <f t="shared" si="19"/>
        <v>2.2894284851066637</v>
      </c>
      <c r="F67" s="3">
        <f t="shared" si="20"/>
        <v>0.58763109727856044</v>
      </c>
    </row>
    <row r="68" spans="1:6" ht="15" hidden="1" customHeight="1" outlineLevel="1" collapsed="1" x14ac:dyDescent="0.25"/>
    <row r="69" spans="1:6" ht="15" hidden="1" customHeight="1" outlineLevel="1" x14ac:dyDescent="0.25"/>
    <row r="70" spans="1:6" ht="15" hidden="1" customHeight="1" outlineLevel="1" x14ac:dyDescent="0.25"/>
    <row r="71" spans="1:6" collapsed="1" x14ac:dyDescent="0.25">
      <c r="A71" s="98" t="s">
        <v>9</v>
      </c>
      <c r="B71" s="98"/>
      <c r="C71" s="98"/>
      <c r="D71" s="98"/>
      <c r="E71" s="98"/>
      <c r="F71" s="98"/>
    </row>
    <row r="72" spans="1:6" ht="15" hidden="1" customHeight="1" outlineLevel="1" x14ac:dyDescent="0.25">
      <c r="A72" s="15"/>
      <c r="B72" s="15"/>
      <c r="C72" s="15"/>
      <c r="D72" s="15"/>
      <c r="E72" s="15"/>
      <c r="F72" s="15"/>
    </row>
    <row r="73" spans="1:6" ht="15" hidden="1" customHeight="1" outlineLevel="2" x14ac:dyDescent="0.25">
      <c r="A73" s="50">
        <v>2.1</v>
      </c>
      <c r="B73" s="3">
        <v>3.1</v>
      </c>
      <c r="C73" s="3">
        <v>3.2</v>
      </c>
      <c r="D73" s="3">
        <v>3.3</v>
      </c>
      <c r="E73" s="3" t="s">
        <v>5</v>
      </c>
      <c r="F73" s="3" t="s">
        <v>2</v>
      </c>
    </row>
    <row r="74" spans="1:6" ht="15" hidden="1" customHeight="1" outlineLevel="2" x14ac:dyDescent="0.25">
      <c r="A74" s="3">
        <v>3.1</v>
      </c>
      <c r="B74" s="1">
        <v>1</v>
      </c>
      <c r="C74" s="1">
        <f>1/5</f>
        <v>0.2</v>
      </c>
      <c r="D74" s="1">
        <f>1/7</f>
        <v>0.14285714285714285</v>
      </c>
      <c r="E74" s="1">
        <f>GEOMEAN(B74:D74)</f>
        <v>0.30571070873287987</v>
      </c>
      <c r="F74" s="3">
        <f>E74/SUM(E$74:E$76)</f>
        <v>7.1927429882256463E-2</v>
      </c>
    </row>
    <row r="75" spans="1:6" ht="15" hidden="1" customHeight="1" outlineLevel="2" x14ac:dyDescent="0.25">
      <c r="A75" s="3">
        <v>3.2</v>
      </c>
      <c r="B75" s="1">
        <v>5</v>
      </c>
      <c r="C75" s="1">
        <v>1</v>
      </c>
      <c r="D75" s="1">
        <f>1/3</f>
        <v>0.33333333333333331</v>
      </c>
      <c r="E75" s="1">
        <f t="shared" ref="E75:E76" si="21">GEOMEAN(B75:D75)</f>
        <v>1.1856311014966876</v>
      </c>
      <c r="F75" s="3">
        <f t="shared" ref="F75:F76" si="22">E75/SUM(E$74:E$76)</f>
        <v>0.27895456548641834</v>
      </c>
    </row>
    <row r="76" spans="1:6" ht="15" hidden="1" customHeight="1" outlineLevel="2" x14ac:dyDescent="0.25">
      <c r="A76" s="3">
        <v>3.3</v>
      </c>
      <c r="B76" s="1">
        <v>7</v>
      </c>
      <c r="C76" s="1">
        <v>3</v>
      </c>
      <c r="D76" s="1">
        <v>1</v>
      </c>
      <c r="E76" s="1">
        <f t="shared" si="21"/>
        <v>2.7589241763811208</v>
      </c>
      <c r="F76" s="3">
        <f t="shared" si="22"/>
        <v>0.6491180046313253</v>
      </c>
    </row>
    <row r="77" spans="1:6" ht="15" hidden="1" customHeight="1" outlineLevel="2" x14ac:dyDescent="0.25"/>
    <row r="78" spans="1:6" ht="15" hidden="1" customHeight="1" outlineLevel="2" x14ac:dyDescent="0.25">
      <c r="A78" s="50">
        <v>2.2000000000000002</v>
      </c>
      <c r="B78" s="3">
        <v>3.1</v>
      </c>
      <c r="C78" s="3">
        <v>3.2</v>
      </c>
      <c r="D78" s="3">
        <v>3.3</v>
      </c>
      <c r="E78" s="3" t="s">
        <v>5</v>
      </c>
      <c r="F78" s="3" t="s">
        <v>2</v>
      </c>
    </row>
    <row r="79" spans="1:6" ht="15" hidden="1" customHeight="1" outlineLevel="2" x14ac:dyDescent="0.25">
      <c r="A79" s="3">
        <v>3.1</v>
      </c>
      <c r="B79" s="1">
        <v>1</v>
      </c>
      <c r="C79" s="1">
        <f>1/3</f>
        <v>0.33333333333333331</v>
      </c>
      <c r="D79" s="1">
        <f>1/7</f>
        <v>0.14285714285714285</v>
      </c>
      <c r="E79" s="1">
        <f>GEOMEAN(B79:D79)</f>
        <v>0.36246012433429736</v>
      </c>
      <c r="F79" s="3">
        <f>E79/SUM(E$79:E$81)</f>
        <v>8.4144148481701667E-2</v>
      </c>
    </row>
    <row r="80" spans="1:6" ht="15" hidden="1" customHeight="1" outlineLevel="2" x14ac:dyDescent="0.25">
      <c r="A80" s="3">
        <v>3.2</v>
      </c>
      <c r="B80" s="1">
        <v>3</v>
      </c>
      <c r="C80" s="1">
        <v>1</v>
      </c>
      <c r="D80" s="1">
        <f>1/4</f>
        <v>0.25</v>
      </c>
      <c r="E80" s="1">
        <f t="shared" ref="E80:E81" si="23">GEOMEAN(B80:D80)</f>
        <v>0.90856029641606983</v>
      </c>
      <c r="F80" s="3">
        <f t="shared" ref="F80:F81" si="24">E80/SUM(E$79:E$81)</f>
        <v>0.21091984291133417</v>
      </c>
    </row>
    <row r="81" spans="1:6" ht="15" hidden="1" customHeight="1" outlineLevel="2" x14ac:dyDescent="0.25">
      <c r="A81" s="3">
        <v>3.3</v>
      </c>
      <c r="B81" s="1">
        <v>7</v>
      </c>
      <c r="C81" s="1">
        <v>4</v>
      </c>
      <c r="D81" s="1">
        <v>1</v>
      </c>
      <c r="E81" s="1">
        <f t="shared" si="23"/>
        <v>3.0365889718756627</v>
      </c>
      <c r="F81" s="3">
        <f t="shared" si="24"/>
        <v>0.70493600860696415</v>
      </c>
    </row>
    <row r="82" spans="1:6" ht="15" hidden="1" customHeight="1" outlineLevel="2" x14ac:dyDescent="0.25"/>
    <row r="83" spans="1:6" ht="15" hidden="1" customHeight="1" outlineLevel="2" x14ac:dyDescent="0.25">
      <c r="A83" s="50">
        <v>2.2999999999999998</v>
      </c>
      <c r="B83" s="3">
        <v>3.1</v>
      </c>
      <c r="C83" s="3">
        <v>3.2</v>
      </c>
      <c r="D83" s="3">
        <v>3.3</v>
      </c>
      <c r="E83" s="3" t="s">
        <v>5</v>
      </c>
      <c r="F83" s="3" t="s">
        <v>2</v>
      </c>
    </row>
    <row r="84" spans="1:6" ht="15" hidden="1" customHeight="1" outlineLevel="2" x14ac:dyDescent="0.25">
      <c r="A84" s="3">
        <v>3.1</v>
      </c>
      <c r="B84" s="1">
        <v>1</v>
      </c>
      <c r="C84" s="1">
        <f>1/5</f>
        <v>0.2</v>
      </c>
      <c r="D84" s="1">
        <f>1/7</f>
        <v>0.14285714285714285</v>
      </c>
      <c r="E84" s="1">
        <f>GEOMEAN(B84:D84)</f>
        <v>0.30571070873287987</v>
      </c>
      <c r="F84" s="3">
        <f>E84/SUM(E$84:E$86)</f>
        <v>6.9172877253410398E-2</v>
      </c>
    </row>
    <row r="85" spans="1:6" ht="15" hidden="1" customHeight="1" outlineLevel="2" x14ac:dyDescent="0.25">
      <c r="A85" s="3">
        <v>3.2</v>
      </c>
      <c r="B85" s="1">
        <v>5</v>
      </c>
      <c r="C85" s="1">
        <v>1</v>
      </c>
      <c r="D85" s="1">
        <f>1/4</f>
        <v>0.25</v>
      </c>
      <c r="E85" s="1">
        <f t="shared" ref="E85:E86" si="25">GEOMEAN(B85:D85)</f>
        <v>1.0772173450159419</v>
      </c>
      <c r="F85" s="3">
        <f t="shared" ref="F85:F86" si="26">E85/SUM(E$84:E$86)</f>
        <v>0.24374096508061974</v>
      </c>
    </row>
    <row r="86" spans="1:6" ht="15" hidden="1" customHeight="1" outlineLevel="2" x14ac:dyDescent="0.25">
      <c r="A86" s="3">
        <v>3.3</v>
      </c>
      <c r="B86" s="1">
        <v>7</v>
      </c>
      <c r="C86" s="1">
        <v>4</v>
      </c>
      <c r="D86" s="1">
        <v>1</v>
      </c>
      <c r="E86" s="1">
        <f t="shared" si="25"/>
        <v>3.0365889718756627</v>
      </c>
      <c r="F86" s="3">
        <f t="shared" si="26"/>
        <v>0.68708615766596981</v>
      </c>
    </row>
    <row r="87" spans="1:6" ht="15" hidden="1" customHeight="1" outlineLevel="1" collapsed="1" x14ac:dyDescent="0.25"/>
    <row r="88" spans="1:6" ht="15" hidden="1" customHeight="1" outlineLevel="2" x14ac:dyDescent="0.25">
      <c r="A88" s="50">
        <v>2.1</v>
      </c>
      <c r="B88" s="3">
        <v>4.0999999999999996</v>
      </c>
      <c r="C88" s="3">
        <v>4.2</v>
      </c>
      <c r="D88" s="3">
        <v>4.3</v>
      </c>
      <c r="E88" s="3" t="s">
        <v>5</v>
      </c>
      <c r="F88" s="3" t="s">
        <v>2</v>
      </c>
    </row>
    <row r="89" spans="1:6" ht="15" hidden="1" customHeight="1" outlineLevel="2" x14ac:dyDescent="0.25">
      <c r="A89" s="3">
        <v>4.0999999999999996</v>
      </c>
      <c r="B89" s="1">
        <v>1</v>
      </c>
      <c r="C89" s="1">
        <v>3</v>
      </c>
      <c r="D89" s="1">
        <v>3</v>
      </c>
      <c r="E89" s="1">
        <f>GEOMEAN(B89:D89)</f>
        <v>2.0800838230519041</v>
      </c>
      <c r="F89" s="3">
        <f>E89/SUM(E$89:E$91)</f>
        <v>0.59363368526030014</v>
      </c>
    </row>
    <row r="90" spans="1:6" ht="15" hidden="1" customHeight="1" outlineLevel="2" x14ac:dyDescent="0.25">
      <c r="A90" s="3">
        <v>4.2</v>
      </c>
      <c r="B90" s="1">
        <f>1/3</f>
        <v>0.33333333333333331</v>
      </c>
      <c r="C90" s="1">
        <v>1</v>
      </c>
      <c r="D90" s="1">
        <f>1/2</f>
        <v>0.5</v>
      </c>
      <c r="E90" s="1">
        <f t="shared" ref="E90:E91" si="27">GEOMEAN(B90:D90)</f>
        <v>0.55032120814910446</v>
      </c>
      <c r="F90" s="3">
        <f t="shared" ref="F90:F91" si="28">E90/SUM(E$89:E$91)</f>
        <v>0.15705578941099324</v>
      </c>
    </row>
    <row r="91" spans="1:6" ht="15" hidden="1" customHeight="1" outlineLevel="2" x14ac:dyDescent="0.25">
      <c r="A91" s="3">
        <v>4.3</v>
      </c>
      <c r="B91" s="1">
        <f>1/3</f>
        <v>0.33333333333333331</v>
      </c>
      <c r="C91" s="1">
        <v>2</v>
      </c>
      <c r="D91" s="1">
        <v>1</v>
      </c>
      <c r="E91" s="1">
        <f t="shared" si="27"/>
        <v>0.87358046473629891</v>
      </c>
      <c r="F91" s="3">
        <f t="shared" si="28"/>
        <v>0.24931052532870668</v>
      </c>
    </row>
    <row r="92" spans="1:6" ht="15" hidden="1" customHeight="1" outlineLevel="2" x14ac:dyDescent="0.25"/>
    <row r="93" spans="1:6" ht="15" hidden="1" customHeight="1" outlineLevel="2" x14ac:dyDescent="0.25">
      <c r="A93" s="50">
        <v>2.2000000000000002</v>
      </c>
      <c r="B93" s="3">
        <v>4.0999999999999996</v>
      </c>
      <c r="C93" s="3">
        <v>4.2</v>
      </c>
      <c r="D93" s="3">
        <v>4.3</v>
      </c>
      <c r="E93" s="3" t="s">
        <v>5</v>
      </c>
      <c r="F93" s="3" t="s">
        <v>2</v>
      </c>
    </row>
    <row r="94" spans="1:6" ht="15" hidden="1" customHeight="1" outlineLevel="2" x14ac:dyDescent="0.25">
      <c r="A94" s="3">
        <v>4.0999999999999996</v>
      </c>
      <c r="B94" s="1">
        <v>1</v>
      </c>
      <c r="C94" s="1">
        <f>1/5</f>
        <v>0.2</v>
      </c>
      <c r="D94" s="1">
        <f>1/3</f>
        <v>0.33333333333333331</v>
      </c>
      <c r="E94" s="1">
        <f>GEOMEAN(B94:D94)</f>
        <v>0.40548013303822666</v>
      </c>
      <c r="F94" s="3">
        <f>E94/SUM(E$94:E$96)</f>
        <v>0.10472943388074787</v>
      </c>
    </row>
    <row r="95" spans="1:6" ht="15" hidden="1" customHeight="1" outlineLevel="2" x14ac:dyDescent="0.25">
      <c r="A95" s="3">
        <v>4.2</v>
      </c>
      <c r="B95" s="1">
        <v>5</v>
      </c>
      <c r="C95" s="1">
        <v>1</v>
      </c>
      <c r="D95" s="1">
        <v>3</v>
      </c>
      <c r="E95" s="1">
        <f t="shared" ref="E95:E96" si="29">GEOMEAN(B95:D95)</f>
        <v>2.4662120743304699</v>
      </c>
      <c r="F95" s="3">
        <f t="shared" ref="F95:F96" si="30">E95/SUM(E$94:E$96)</f>
        <v>0.63698557174475712</v>
      </c>
    </row>
    <row r="96" spans="1:6" ht="15" hidden="1" customHeight="1" outlineLevel="2" x14ac:dyDescent="0.25">
      <c r="A96" s="3">
        <v>4.3</v>
      </c>
      <c r="B96" s="1">
        <v>3</v>
      </c>
      <c r="C96" s="1">
        <f>1/3</f>
        <v>0.33333333333333331</v>
      </c>
      <c r="D96" s="1">
        <v>1</v>
      </c>
      <c r="E96" s="1">
        <f t="shared" si="29"/>
        <v>1</v>
      </c>
      <c r="F96" s="3">
        <f t="shared" si="30"/>
        <v>0.25828499437449504</v>
      </c>
    </row>
    <row r="97" spans="1:6" ht="15" hidden="1" customHeight="1" outlineLevel="2" x14ac:dyDescent="0.25"/>
    <row r="98" spans="1:6" ht="15" hidden="1" customHeight="1" outlineLevel="2" x14ac:dyDescent="0.25">
      <c r="A98" s="50">
        <v>2.2999999999999998</v>
      </c>
      <c r="B98" s="3">
        <v>4.0999999999999996</v>
      </c>
      <c r="C98" s="3">
        <v>4.2</v>
      </c>
      <c r="D98" s="3">
        <v>4.3</v>
      </c>
      <c r="E98" s="3" t="s">
        <v>5</v>
      </c>
      <c r="F98" s="3" t="s">
        <v>2</v>
      </c>
    </row>
    <row r="99" spans="1:6" ht="15" hidden="1" customHeight="1" outlineLevel="2" x14ac:dyDescent="0.25">
      <c r="A99" s="3">
        <v>4.0999999999999996</v>
      </c>
      <c r="B99" s="1">
        <v>1</v>
      </c>
      <c r="C99" s="1">
        <f>1/4</f>
        <v>0.25</v>
      </c>
      <c r="D99" s="1">
        <f>1/7</f>
        <v>0.14285714285714285</v>
      </c>
      <c r="E99" s="1">
        <f>GEOMEAN(B99:D99)</f>
        <v>0.32931687800417475</v>
      </c>
      <c r="F99" s="3">
        <f>E99/SUM(E$99:E$101)</f>
        <v>7.2717735457172056E-2</v>
      </c>
    </row>
    <row r="100" spans="1:6" ht="15" hidden="1" customHeight="1" outlineLevel="2" x14ac:dyDescent="0.25">
      <c r="A100" s="3">
        <v>4.2</v>
      </c>
      <c r="B100" s="1">
        <v>4</v>
      </c>
      <c r="C100" s="1">
        <v>1</v>
      </c>
      <c r="D100" s="1">
        <f>1/5</f>
        <v>0.2</v>
      </c>
      <c r="E100" s="1">
        <f t="shared" ref="E100:E101" si="31">GEOMEAN(B100:D100)</f>
        <v>0.92831776672255584</v>
      </c>
      <c r="F100" s="3">
        <f t="shared" ref="F100:F101" si="32">E100/SUM(E$99:E$101)</f>
        <v>0.20498544195438356</v>
      </c>
    </row>
    <row r="101" spans="1:6" ht="15" hidden="1" customHeight="1" outlineLevel="2" x14ac:dyDescent="0.25">
      <c r="A101" s="3">
        <v>4.3</v>
      </c>
      <c r="B101" s="1">
        <v>7</v>
      </c>
      <c r="C101" s="1">
        <v>5</v>
      </c>
      <c r="D101" s="1">
        <v>1</v>
      </c>
      <c r="E101" s="1">
        <f t="shared" si="31"/>
        <v>3.2710663101885897</v>
      </c>
      <c r="F101" s="3">
        <f t="shared" si="32"/>
        <v>0.7222968225884443</v>
      </c>
    </row>
    <row r="102" spans="1:6" ht="15" hidden="1" customHeight="1" outlineLevel="1" collapsed="1" x14ac:dyDescent="0.25"/>
    <row r="103" spans="1:6" collapsed="1" x14ac:dyDescent="0.25">
      <c r="A103" s="98" t="s">
        <v>10</v>
      </c>
      <c r="B103" s="98"/>
      <c r="C103" s="98"/>
      <c r="D103" s="98"/>
      <c r="E103" s="98"/>
      <c r="F103" s="98"/>
    </row>
    <row r="104" spans="1:6" ht="15" hidden="1" customHeight="1" outlineLevel="1" x14ac:dyDescent="0.25">
      <c r="A104" s="50">
        <v>3.1</v>
      </c>
      <c r="B104" s="3">
        <v>4.0999999999999996</v>
      </c>
      <c r="C104" s="3">
        <v>4.2</v>
      </c>
      <c r="D104" s="3">
        <v>4.3</v>
      </c>
      <c r="E104" s="3" t="s">
        <v>5</v>
      </c>
      <c r="F104" s="3" t="s">
        <v>2</v>
      </c>
    </row>
    <row r="105" spans="1:6" ht="15" hidden="1" customHeight="1" outlineLevel="1" x14ac:dyDescent="0.25">
      <c r="A105" s="3">
        <v>4.0999999999999996</v>
      </c>
      <c r="B105" s="1">
        <v>1</v>
      </c>
      <c r="C105" s="1">
        <v>5</v>
      </c>
      <c r="D105" s="1">
        <v>3</v>
      </c>
      <c r="E105" s="1">
        <f>GEOMEAN(B105:D105)</f>
        <v>2.4662120743304699</v>
      </c>
      <c r="F105" s="3">
        <f>E105/SUM(E$105:E$107)</f>
        <v>0.61750422747269273</v>
      </c>
    </row>
    <row r="106" spans="1:6" ht="15" hidden="1" customHeight="1" outlineLevel="1" x14ac:dyDescent="0.25">
      <c r="A106" s="3">
        <v>4.2</v>
      </c>
      <c r="B106" s="1">
        <f>1/5</f>
        <v>0.2</v>
      </c>
      <c r="C106" s="1">
        <v>1</v>
      </c>
      <c r="D106" s="1">
        <f>1/5</f>
        <v>0.2</v>
      </c>
      <c r="E106" s="1">
        <f t="shared" ref="E106:E107" si="33">GEOMEAN(B106:D106)</f>
        <v>0.3419951893353394</v>
      </c>
      <c r="F106" s="3">
        <f t="shared" ref="F106:F107" si="34">E106/SUM(E$105:E$107)</f>
        <v>8.5630703615474105E-2</v>
      </c>
    </row>
    <row r="107" spans="1:6" ht="15" hidden="1" customHeight="1" outlineLevel="1" x14ac:dyDescent="0.25">
      <c r="A107" s="3">
        <v>4.3</v>
      </c>
      <c r="B107" s="1">
        <f>1/3</f>
        <v>0.33333333333333331</v>
      </c>
      <c r="C107" s="1">
        <v>5</v>
      </c>
      <c r="D107" s="1">
        <v>1</v>
      </c>
      <c r="E107" s="1">
        <f t="shared" si="33"/>
        <v>1.1856311014966876</v>
      </c>
      <c r="F107" s="3">
        <f t="shared" si="34"/>
        <v>0.29686506891183312</v>
      </c>
    </row>
    <row r="108" spans="1:6" ht="15" hidden="1" customHeight="1" outlineLevel="1" x14ac:dyDescent="0.25"/>
    <row r="109" spans="1:6" ht="15" hidden="1" customHeight="1" outlineLevel="1" x14ac:dyDescent="0.25">
      <c r="A109" s="50">
        <v>3.2</v>
      </c>
      <c r="B109" s="3">
        <v>4.0999999999999996</v>
      </c>
      <c r="C109" s="3">
        <v>4.2</v>
      </c>
      <c r="D109" s="3">
        <v>4.3</v>
      </c>
      <c r="E109" s="3" t="s">
        <v>5</v>
      </c>
      <c r="F109" s="3" t="s">
        <v>2</v>
      </c>
    </row>
    <row r="110" spans="1:6" ht="15" hidden="1" customHeight="1" outlineLevel="1" x14ac:dyDescent="0.25">
      <c r="A110" s="3">
        <v>4.0999999999999996</v>
      </c>
      <c r="B110" s="1">
        <v>1</v>
      </c>
      <c r="C110" s="1">
        <f>1/2</f>
        <v>0.5</v>
      </c>
      <c r="D110" s="1">
        <v>5</v>
      </c>
      <c r="E110" s="1">
        <f>GEOMEAN(B110:D110)</f>
        <v>1.3572088082974534</v>
      </c>
      <c r="F110" s="3">
        <f>E110/SUM(E$110:E$112)</f>
        <v>0.33321586590217162</v>
      </c>
    </row>
    <row r="111" spans="1:6" ht="15" hidden="1" customHeight="1" outlineLevel="1" x14ac:dyDescent="0.25">
      <c r="A111" s="3">
        <v>4.2</v>
      </c>
      <c r="B111" s="1">
        <v>2</v>
      </c>
      <c r="C111" s="1">
        <v>1</v>
      </c>
      <c r="D111" s="1">
        <v>7</v>
      </c>
      <c r="E111" s="1">
        <f t="shared" ref="E111:E112" si="35">GEOMEAN(B111:D111)</f>
        <v>2.4101422641752301</v>
      </c>
      <c r="F111" s="3">
        <f t="shared" ref="F111:F112" si="36">E111/SUM(E$110:E$112)</f>
        <v>0.59172740155732806</v>
      </c>
    </row>
    <row r="112" spans="1:6" ht="15" hidden="1" customHeight="1" outlineLevel="1" x14ac:dyDescent="0.25">
      <c r="A112" s="3">
        <v>4.3</v>
      </c>
      <c r="B112" s="1">
        <f>1/5</f>
        <v>0.2</v>
      </c>
      <c r="C112" s="1">
        <f>1/7</f>
        <v>0.14285714285714285</v>
      </c>
      <c r="D112" s="1">
        <v>1</v>
      </c>
      <c r="E112" s="1">
        <f t="shared" si="35"/>
        <v>0.30571070873287987</v>
      </c>
      <c r="F112" s="3">
        <f t="shared" si="36"/>
        <v>7.505673254050034E-2</v>
      </c>
    </row>
    <row r="113" spans="1:6" ht="15" hidden="1" customHeight="1" outlineLevel="1" x14ac:dyDescent="0.25"/>
    <row r="114" spans="1:6" ht="15" hidden="1" customHeight="1" outlineLevel="1" x14ac:dyDescent="0.25">
      <c r="A114" s="50">
        <v>3.3</v>
      </c>
      <c r="B114" s="3">
        <v>4.0999999999999996</v>
      </c>
      <c r="C114" s="3">
        <v>4.2</v>
      </c>
      <c r="D114" s="3">
        <v>4.3</v>
      </c>
      <c r="E114" s="3" t="s">
        <v>5</v>
      </c>
      <c r="F114" s="3" t="s">
        <v>2</v>
      </c>
    </row>
    <row r="115" spans="1:6" ht="15" hidden="1" customHeight="1" outlineLevel="1" x14ac:dyDescent="0.25">
      <c r="A115" s="3">
        <v>4.0999999999999996</v>
      </c>
      <c r="B115" s="1">
        <v>1</v>
      </c>
      <c r="C115" s="1">
        <f>1/3</f>
        <v>0.33333333333333331</v>
      </c>
      <c r="D115" s="1">
        <f>1/5</f>
        <v>0.2</v>
      </c>
      <c r="E115" s="1">
        <f>GEOMEAN(B115:D115)</f>
        <v>0.40548013303822666</v>
      </c>
      <c r="F115" s="3">
        <f>E115/SUM(E$115:E$117)</f>
        <v>0.10472943388074786</v>
      </c>
    </row>
    <row r="116" spans="1:6" ht="15" hidden="1" customHeight="1" outlineLevel="1" x14ac:dyDescent="0.25">
      <c r="A116" s="3">
        <v>4.2</v>
      </c>
      <c r="B116" s="1">
        <v>3</v>
      </c>
      <c r="C116" s="1">
        <v>1</v>
      </c>
      <c r="D116" s="1">
        <f>1/3</f>
        <v>0.33333333333333331</v>
      </c>
      <c r="E116" s="1">
        <f t="shared" ref="E116:E117" si="37">GEOMEAN(B116:D116)</f>
        <v>1</v>
      </c>
      <c r="F116" s="3">
        <f t="shared" ref="F116:F117" si="38">E116/SUM(E$115:E$117)</f>
        <v>0.25828499437449498</v>
      </c>
    </row>
    <row r="117" spans="1:6" ht="15" hidden="1" customHeight="1" outlineLevel="1" x14ac:dyDescent="0.25">
      <c r="A117" s="3">
        <v>4.3</v>
      </c>
      <c r="B117" s="1">
        <v>5</v>
      </c>
      <c r="C117" s="1">
        <v>3</v>
      </c>
      <c r="D117" s="1">
        <v>1</v>
      </c>
      <c r="E117" s="1">
        <f t="shared" si="37"/>
        <v>2.4662120743304699</v>
      </c>
      <c r="F117" s="3">
        <f t="shared" si="38"/>
        <v>0.63698557174475712</v>
      </c>
    </row>
    <row r="118" spans="1:6" ht="15" hidden="1" customHeight="1" outlineLevel="1" x14ac:dyDescent="0.25"/>
    <row r="119" spans="1:6" collapsed="1" x14ac:dyDescent="0.25">
      <c r="A119" s="98" t="s">
        <v>11</v>
      </c>
      <c r="B119" s="98"/>
      <c r="C119" s="98"/>
      <c r="D119" s="98"/>
      <c r="E119" s="98"/>
      <c r="F119" s="98"/>
    </row>
    <row r="120" spans="1:6" ht="15" hidden="1" customHeight="1" outlineLevel="1" x14ac:dyDescent="0.25">
      <c r="A120" s="50">
        <v>4.0999999999999996</v>
      </c>
      <c r="B120" s="3">
        <v>1.1000000000000001</v>
      </c>
      <c r="C120" s="3">
        <v>1.2</v>
      </c>
      <c r="D120" s="3">
        <v>1.3</v>
      </c>
      <c r="E120" s="3" t="s">
        <v>5</v>
      </c>
      <c r="F120" s="3" t="s">
        <v>2</v>
      </c>
    </row>
    <row r="121" spans="1:6" ht="15" hidden="1" customHeight="1" outlineLevel="1" x14ac:dyDescent="0.25">
      <c r="A121" s="3">
        <v>1.1000000000000001</v>
      </c>
      <c r="B121" s="1">
        <v>1</v>
      </c>
      <c r="C121" s="1">
        <f>1/3</f>
        <v>0.33333333333333331</v>
      </c>
      <c r="D121" s="1">
        <v>3</v>
      </c>
      <c r="E121" s="1">
        <f>GEOMEAN(B121:D121)</f>
        <v>1</v>
      </c>
      <c r="F121" s="1">
        <f>E121/SUM(E$121:E$123)</f>
        <v>0.24263692173195622</v>
      </c>
    </row>
    <row r="122" spans="1:6" ht="15" hidden="1" customHeight="1" outlineLevel="1" x14ac:dyDescent="0.25">
      <c r="A122" s="3">
        <v>1.2</v>
      </c>
      <c r="B122" s="1">
        <v>3</v>
      </c>
      <c r="C122" s="1">
        <v>1</v>
      </c>
      <c r="D122" s="1">
        <v>7</v>
      </c>
      <c r="E122" s="1">
        <f t="shared" ref="E122:E123" si="39">GEOMEAN(B122:D122)</f>
        <v>2.7589241763811208</v>
      </c>
      <c r="F122" s="1">
        <f t="shared" ref="F122:F123" si="40">E122/SUM(E$121:E$123)</f>
        <v>0.66941686944898782</v>
      </c>
    </row>
    <row r="123" spans="1:6" ht="15" hidden="1" customHeight="1" outlineLevel="1" x14ac:dyDescent="0.25">
      <c r="A123" s="3">
        <v>1.3</v>
      </c>
      <c r="B123" s="1">
        <f>1/3</f>
        <v>0.33333333333333331</v>
      </c>
      <c r="C123" s="1">
        <f>1/7</f>
        <v>0.14285714285714285</v>
      </c>
      <c r="D123" s="1">
        <v>1</v>
      </c>
      <c r="E123" s="1">
        <f t="shared" si="39"/>
        <v>0.36246012433429736</v>
      </c>
      <c r="F123" s="1">
        <f t="shared" si="40"/>
        <v>8.7946208819056029E-2</v>
      </c>
    </row>
    <row r="124" spans="1:6" ht="15" hidden="1" customHeight="1" outlineLevel="1" x14ac:dyDescent="0.25"/>
    <row r="125" spans="1:6" ht="15" hidden="1" customHeight="1" outlineLevel="1" x14ac:dyDescent="0.25">
      <c r="A125" s="50">
        <v>4.2</v>
      </c>
      <c r="B125" s="3">
        <v>1.1000000000000001</v>
      </c>
      <c r="C125" s="3">
        <v>1.2</v>
      </c>
      <c r="D125" s="3">
        <v>1.3</v>
      </c>
      <c r="E125" s="3" t="s">
        <v>5</v>
      </c>
      <c r="F125" s="3" t="s">
        <v>2</v>
      </c>
    </row>
    <row r="126" spans="1:6" ht="15" hidden="1" customHeight="1" outlineLevel="1" x14ac:dyDescent="0.25">
      <c r="A126" s="3">
        <v>1.1000000000000001</v>
      </c>
      <c r="B126" s="1">
        <v>1</v>
      </c>
      <c r="C126" s="1">
        <f>1/2</f>
        <v>0.5</v>
      </c>
      <c r="D126" s="1">
        <v>3</v>
      </c>
      <c r="E126" s="1">
        <f>GEOMEAN(B126:D126)</f>
        <v>1.1447142425533319</v>
      </c>
      <c r="F126" s="1">
        <f>E126/SUM(E$126:E$128)</f>
        <v>0.30899564363286419</v>
      </c>
    </row>
    <row r="127" spans="1:6" ht="15" hidden="1" customHeight="1" outlineLevel="1" x14ac:dyDescent="0.25">
      <c r="A127" s="3">
        <v>1.2</v>
      </c>
      <c r="B127" s="1">
        <v>2</v>
      </c>
      <c r="C127" s="1">
        <v>1</v>
      </c>
      <c r="D127" s="1">
        <v>5</v>
      </c>
      <c r="E127" s="1">
        <f t="shared" ref="E127:E128" si="41">GEOMEAN(B127:D127)</f>
        <v>2.1544346900318838</v>
      </c>
      <c r="F127" s="1">
        <f t="shared" ref="F127:F128" si="42">E127/SUM(E$126:E$128)</f>
        <v>0.58155206685161598</v>
      </c>
    </row>
    <row r="128" spans="1:6" ht="15" hidden="1" customHeight="1" outlineLevel="1" x14ac:dyDescent="0.25">
      <c r="A128" s="3">
        <v>1.3</v>
      </c>
      <c r="B128" s="1">
        <f>1/3</f>
        <v>0.33333333333333331</v>
      </c>
      <c r="C128" s="1">
        <f>1/5</f>
        <v>0.2</v>
      </c>
      <c r="D128" s="1">
        <v>1</v>
      </c>
      <c r="E128" s="1">
        <f t="shared" si="41"/>
        <v>0.40548013303822666</v>
      </c>
      <c r="F128" s="1">
        <f t="shared" si="42"/>
        <v>0.10945228951551982</v>
      </c>
    </row>
    <row r="129" spans="1:13" ht="15" hidden="1" customHeight="1" outlineLevel="1" x14ac:dyDescent="0.25"/>
    <row r="130" spans="1:13" ht="15" hidden="1" customHeight="1" outlineLevel="1" x14ac:dyDescent="0.25">
      <c r="A130" s="50">
        <v>4.3</v>
      </c>
      <c r="B130" s="3">
        <v>1.1000000000000001</v>
      </c>
      <c r="C130" s="3">
        <v>1.2</v>
      </c>
      <c r="D130" s="3">
        <v>1.3</v>
      </c>
      <c r="E130" s="3" t="s">
        <v>5</v>
      </c>
      <c r="F130" s="3" t="s">
        <v>2</v>
      </c>
    </row>
    <row r="131" spans="1:13" ht="15" hidden="1" customHeight="1" outlineLevel="1" x14ac:dyDescent="0.25">
      <c r="A131" s="3">
        <v>1.1000000000000001</v>
      </c>
      <c r="B131" s="1">
        <v>1</v>
      </c>
      <c r="C131" s="1">
        <f>1/2</f>
        <v>0.5</v>
      </c>
      <c r="D131" s="1">
        <v>2</v>
      </c>
      <c r="E131" s="1">
        <f>GEOMEAN(B131:D131)</f>
        <v>1</v>
      </c>
      <c r="F131" s="1">
        <f>E131/SUM(E$131:E$133)</f>
        <v>0.2969613312124974</v>
      </c>
    </row>
    <row r="132" spans="1:13" ht="15" hidden="1" customHeight="1" outlineLevel="1" x14ac:dyDescent="0.25">
      <c r="A132" s="3">
        <v>1.2</v>
      </c>
      <c r="B132" s="1">
        <v>2</v>
      </c>
      <c r="C132" s="1">
        <v>1</v>
      </c>
      <c r="D132" s="1">
        <v>3</v>
      </c>
      <c r="E132" s="1">
        <f t="shared" ref="E132:E133" si="43">GEOMEAN(B132:D132)</f>
        <v>1.8171205928321397</v>
      </c>
      <c r="F132" s="1">
        <f t="shared" ref="F132:F133" si="44">E132/SUM(E$131:E$133)</f>
        <v>0.53961455022107463</v>
      </c>
    </row>
    <row r="133" spans="1:13" ht="15" hidden="1" customHeight="1" outlineLevel="1" x14ac:dyDescent="0.25">
      <c r="A133" s="3">
        <v>1.3</v>
      </c>
      <c r="B133" s="16">
        <f>1/2</f>
        <v>0.5</v>
      </c>
      <c r="C133" s="1">
        <f>1/3</f>
        <v>0.33333333333333331</v>
      </c>
      <c r="D133" s="1">
        <v>1</v>
      </c>
      <c r="E133" s="1">
        <f t="shared" si="43"/>
        <v>0.55032120814910446</v>
      </c>
      <c r="F133" s="1">
        <f t="shared" si="44"/>
        <v>0.16342411856642791</v>
      </c>
    </row>
    <row r="134" spans="1:13" ht="15" hidden="1" customHeight="1" outlineLevel="1" x14ac:dyDescent="0.25"/>
    <row r="135" spans="1:13" ht="15" hidden="1" customHeight="1" outlineLevel="1" x14ac:dyDescent="0.25"/>
    <row r="136" spans="1:13" collapsed="1" x14ac:dyDescent="0.25">
      <c r="A136" s="102" t="s">
        <v>12</v>
      </c>
      <c r="B136" s="102"/>
      <c r="C136" s="102"/>
      <c r="D136" s="102"/>
      <c r="E136" s="102"/>
      <c r="F136" s="102"/>
      <c r="G136" s="102"/>
      <c r="H136" s="102"/>
      <c r="I136" s="102"/>
      <c r="J136" s="102"/>
      <c r="K136" s="102"/>
      <c r="L136" s="102"/>
      <c r="M136" s="102"/>
    </row>
    <row r="137" spans="1:13" x14ac:dyDescent="0.25">
      <c r="A137" s="99" t="s">
        <v>14</v>
      </c>
      <c r="B137" s="99"/>
      <c r="C137" s="99"/>
      <c r="D137" s="99"/>
      <c r="E137" s="99"/>
      <c r="F137" s="99"/>
      <c r="G137" s="99"/>
      <c r="H137" s="99"/>
      <c r="I137" s="99"/>
      <c r="J137" s="99"/>
      <c r="K137" s="99"/>
      <c r="L137" s="99"/>
      <c r="M137" s="99"/>
    </row>
    <row r="138" spans="1:13" ht="15.75" hidden="1" customHeight="1" outlineLevel="1" thickBot="1" x14ac:dyDescent="0.3">
      <c r="A138" s="51"/>
      <c r="B138" s="52">
        <v>1.1000000000000001</v>
      </c>
      <c r="C138" s="52">
        <v>1.2</v>
      </c>
      <c r="D138" s="52">
        <v>1.3</v>
      </c>
      <c r="E138" s="52">
        <v>2.1</v>
      </c>
      <c r="F138" s="52">
        <v>2.2000000000000002</v>
      </c>
      <c r="G138" s="52">
        <v>2.2999999999999998</v>
      </c>
      <c r="H138" s="53">
        <v>3.1</v>
      </c>
      <c r="I138" s="53">
        <v>3.2</v>
      </c>
      <c r="J138" s="53">
        <v>3.3</v>
      </c>
      <c r="K138" s="53">
        <v>4.0999999999999996</v>
      </c>
      <c r="L138" s="53">
        <v>4.2</v>
      </c>
      <c r="M138" s="53">
        <v>4.3</v>
      </c>
    </row>
    <row r="139" spans="1:13" ht="15" hidden="1" customHeight="1" outlineLevel="1" x14ac:dyDescent="0.25">
      <c r="A139" s="54">
        <v>1.1000000000000001</v>
      </c>
      <c r="B139" s="55">
        <v>0</v>
      </c>
      <c r="C139" s="56">
        <v>0</v>
      </c>
      <c r="D139" s="57">
        <v>0</v>
      </c>
      <c r="E139" s="55">
        <v>0</v>
      </c>
      <c r="F139" s="56">
        <v>0</v>
      </c>
      <c r="G139" s="58">
        <v>0</v>
      </c>
      <c r="H139" s="59">
        <v>0</v>
      </c>
      <c r="I139" s="60">
        <v>0</v>
      </c>
      <c r="J139" s="61">
        <v>0</v>
      </c>
      <c r="K139" s="62">
        <f t="shared" ref="K139:K141" si="45">F121</f>
        <v>0.24263692173195622</v>
      </c>
      <c r="L139" s="60">
        <f t="shared" ref="L139:L141" si="46">F126</f>
        <v>0.30899564363286419</v>
      </c>
      <c r="M139" s="61">
        <f t="shared" ref="M139:M141" si="47">F131</f>
        <v>0.2969613312124974</v>
      </c>
    </row>
    <row r="140" spans="1:13" ht="15" hidden="1" customHeight="1" outlineLevel="1" x14ac:dyDescent="0.25">
      <c r="A140" s="54">
        <v>1.2</v>
      </c>
      <c r="B140" s="63">
        <v>0</v>
      </c>
      <c r="C140" s="64">
        <v>0</v>
      </c>
      <c r="D140" s="65">
        <v>0</v>
      </c>
      <c r="E140" s="63">
        <v>0</v>
      </c>
      <c r="F140" s="64">
        <v>0</v>
      </c>
      <c r="G140" s="66">
        <v>0</v>
      </c>
      <c r="H140" s="67">
        <v>0</v>
      </c>
      <c r="I140" s="68">
        <v>0</v>
      </c>
      <c r="J140" s="69">
        <v>0</v>
      </c>
      <c r="K140" s="70">
        <f t="shared" si="45"/>
        <v>0.66941686944898782</v>
      </c>
      <c r="L140" s="68">
        <f t="shared" si="46"/>
        <v>0.58155206685161598</v>
      </c>
      <c r="M140" s="69">
        <f t="shared" si="47"/>
        <v>0.53961455022107463</v>
      </c>
    </row>
    <row r="141" spans="1:13" ht="15.75" hidden="1" customHeight="1" outlineLevel="1" thickBot="1" x14ac:dyDescent="0.3">
      <c r="A141" s="54">
        <v>1.3</v>
      </c>
      <c r="B141" s="71">
        <v>0</v>
      </c>
      <c r="C141" s="72">
        <v>0</v>
      </c>
      <c r="D141" s="73">
        <v>0</v>
      </c>
      <c r="E141" s="74">
        <v>0</v>
      </c>
      <c r="F141" s="75">
        <v>0</v>
      </c>
      <c r="G141" s="76">
        <v>0</v>
      </c>
      <c r="H141" s="77">
        <v>0</v>
      </c>
      <c r="I141" s="78">
        <v>0</v>
      </c>
      <c r="J141" s="79">
        <v>0</v>
      </c>
      <c r="K141" s="80">
        <f t="shared" si="45"/>
        <v>8.7946208819056029E-2</v>
      </c>
      <c r="L141" s="78">
        <f t="shared" si="46"/>
        <v>0.10945228951551982</v>
      </c>
      <c r="M141" s="79">
        <f t="shared" si="47"/>
        <v>0.16342411856642791</v>
      </c>
    </row>
    <row r="142" spans="1:13" ht="15" hidden="1" customHeight="1" outlineLevel="1" x14ac:dyDescent="0.25">
      <c r="A142" s="54">
        <v>2.1</v>
      </c>
      <c r="B142" s="81">
        <f>F25</f>
        <v>0.19630685782358659</v>
      </c>
      <c r="C142" s="82">
        <f>F30</f>
        <v>0.2318280093083816</v>
      </c>
      <c r="D142" s="83">
        <f>F35</f>
        <v>0.23848712266284533</v>
      </c>
      <c r="E142" s="55">
        <v>0</v>
      </c>
      <c r="F142" s="56">
        <v>0</v>
      </c>
      <c r="G142" s="58">
        <v>0</v>
      </c>
      <c r="H142" s="59">
        <v>0</v>
      </c>
      <c r="I142" s="60">
        <v>0</v>
      </c>
      <c r="J142" s="61">
        <v>0</v>
      </c>
      <c r="K142" s="62">
        <v>0</v>
      </c>
      <c r="L142" s="60">
        <v>0</v>
      </c>
      <c r="M142" s="61">
        <v>0</v>
      </c>
    </row>
    <row r="143" spans="1:13" ht="15" hidden="1" customHeight="1" outlineLevel="1" x14ac:dyDescent="0.25">
      <c r="A143" s="54">
        <v>2.2000000000000002</v>
      </c>
      <c r="B143" s="81">
        <f>F26</f>
        <v>0.14662174740539058</v>
      </c>
      <c r="C143" s="82">
        <f t="shared" ref="C143:C144" si="48">F31</f>
        <v>0.18400201292590926</v>
      </c>
      <c r="D143" s="83">
        <f t="shared" ref="D143:D144" si="49">F36</f>
        <v>0.62501307434829345</v>
      </c>
      <c r="E143" s="63">
        <v>0</v>
      </c>
      <c r="F143" s="64">
        <v>0</v>
      </c>
      <c r="G143" s="66">
        <v>0</v>
      </c>
      <c r="H143" s="67">
        <v>0</v>
      </c>
      <c r="I143" s="68">
        <v>0</v>
      </c>
      <c r="J143" s="69">
        <v>0</v>
      </c>
      <c r="K143" s="70">
        <v>0</v>
      </c>
      <c r="L143" s="68">
        <v>0</v>
      </c>
      <c r="M143" s="69">
        <v>0</v>
      </c>
    </row>
    <row r="144" spans="1:13" ht="15.75" hidden="1" customHeight="1" outlineLevel="1" thickBot="1" x14ac:dyDescent="0.3">
      <c r="A144" s="54">
        <v>2.2999999999999998</v>
      </c>
      <c r="B144" s="84">
        <f>F27</f>
        <v>0.65707139477102294</v>
      </c>
      <c r="C144" s="85">
        <f t="shared" si="48"/>
        <v>0.58416997776570911</v>
      </c>
      <c r="D144" s="86">
        <f t="shared" si="49"/>
        <v>0.13649980298886127</v>
      </c>
      <c r="E144" s="71">
        <v>0</v>
      </c>
      <c r="F144" s="72">
        <v>0</v>
      </c>
      <c r="G144" s="87">
        <v>0</v>
      </c>
      <c r="H144" s="77">
        <v>0</v>
      </c>
      <c r="I144" s="78">
        <v>0</v>
      </c>
      <c r="J144" s="79">
        <v>0</v>
      </c>
      <c r="K144" s="80">
        <v>0</v>
      </c>
      <c r="L144" s="78">
        <v>0</v>
      </c>
      <c r="M144" s="79">
        <v>0</v>
      </c>
    </row>
    <row r="145" spans="1:13" ht="15" hidden="1" customHeight="1" outlineLevel="1" x14ac:dyDescent="0.25">
      <c r="A145" s="54">
        <v>3.1</v>
      </c>
      <c r="B145" s="55">
        <f>F40</f>
        <v>0.13964793890611579</v>
      </c>
      <c r="C145" s="56">
        <f>F45</f>
        <v>0.16765631496644506</v>
      </c>
      <c r="D145" s="58">
        <f>F50</f>
        <v>0.13106737421512862</v>
      </c>
      <c r="E145" s="88">
        <f>F74</f>
        <v>7.1927429882256463E-2</v>
      </c>
      <c r="F145" s="82">
        <f>F79</f>
        <v>8.4144148481701667E-2</v>
      </c>
      <c r="G145" s="89">
        <f>F84</f>
        <v>6.9172877253410398E-2</v>
      </c>
      <c r="H145" s="62">
        <v>0</v>
      </c>
      <c r="I145" s="60">
        <v>0</v>
      </c>
      <c r="J145" s="61">
        <v>0</v>
      </c>
      <c r="K145" s="62">
        <v>0</v>
      </c>
      <c r="L145" s="60">
        <v>0</v>
      </c>
      <c r="M145" s="61">
        <v>0</v>
      </c>
    </row>
    <row r="146" spans="1:13" ht="15" hidden="1" customHeight="1" outlineLevel="1" x14ac:dyDescent="0.25">
      <c r="A146" s="54">
        <v>3.2</v>
      </c>
      <c r="B146" s="63">
        <f t="shared" ref="B146:B147" si="50">F41</f>
        <v>0.33251592768713861</v>
      </c>
      <c r="C146" s="64">
        <f t="shared" ref="C146:C147" si="51">F46</f>
        <v>0.34873918859419722</v>
      </c>
      <c r="D146" s="66">
        <f t="shared" ref="D146:D147" si="52">F51</f>
        <v>0.30418043030394426</v>
      </c>
      <c r="E146" s="88">
        <f t="shared" ref="E146:E147" si="53">F75</f>
        <v>0.27895456548641834</v>
      </c>
      <c r="F146" s="82">
        <f t="shared" ref="F146:F147" si="54">F80</f>
        <v>0.21091984291133417</v>
      </c>
      <c r="G146" s="89">
        <f t="shared" ref="G146:G147" si="55">F85</f>
        <v>0.24374096508061974</v>
      </c>
      <c r="H146" s="70">
        <v>0</v>
      </c>
      <c r="I146" s="68">
        <v>0</v>
      </c>
      <c r="J146" s="69">
        <v>0</v>
      </c>
      <c r="K146" s="70">
        <v>0</v>
      </c>
      <c r="L146" s="68">
        <v>0</v>
      </c>
      <c r="M146" s="69">
        <v>0</v>
      </c>
    </row>
    <row r="147" spans="1:13" ht="15.75" hidden="1" customHeight="1" outlineLevel="1" thickBot="1" x14ac:dyDescent="0.3">
      <c r="A147" s="54">
        <v>3.3</v>
      </c>
      <c r="B147" s="74">
        <f t="shared" si="50"/>
        <v>0.52783613340674562</v>
      </c>
      <c r="C147" s="75">
        <f t="shared" si="51"/>
        <v>0.48360449643935777</v>
      </c>
      <c r="D147" s="76">
        <f t="shared" si="52"/>
        <v>0.56475219548092714</v>
      </c>
      <c r="E147" s="88">
        <f t="shared" si="53"/>
        <v>0.6491180046313253</v>
      </c>
      <c r="F147" s="82">
        <f t="shared" si="54"/>
        <v>0.70493600860696415</v>
      </c>
      <c r="G147" s="89">
        <f t="shared" si="55"/>
        <v>0.68708615766596981</v>
      </c>
      <c r="H147" s="80">
        <v>0</v>
      </c>
      <c r="I147" s="78">
        <v>0</v>
      </c>
      <c r="J147" s="79">
        <v>0</v>
      </c>
      <c r="K147" s="80">
        <v>0</v>
      </c>
      <c r="L147" s="78">
        <v>0</v>
      </c>
      <c r="M147" s="79">
        <v>0</v>
      </c>
    </row>
    <row r="148" spans="1:13" ht="15" hidden="1" customHeight="1" outlineLevel="1" x14ac:dyDescent="0.25">
      <c r="A148" s="54">
        <v>4.0999999999999996</v>
      </c>
      <c r="B148" s="55">
        <f>F55</f>
        <v>0.50760259044188405</v>
      </c>
      <c r="C148" s="56">
        <f>F60</f>
        <v>0.6092476941173457</v>
      </c>
      <c r="D148" s="58">
        <f>F65</f>
        <v>0.32338585540032133</v>
      </c>
      <c r="E148" s="90">
        <f t="shared" ref="E148:E150" si="56">F89</f>
        <v>0.59363368526030014</v>
      </c>
      <c r="F148" s="56">
        <f t="shared" ref="F148:F150" si="57">F94</f>
        <v>0.10472943388074787</v>
      </c>
      <c r="G148" s="58">
        <f t="shared" ref="G148:G150" si="58">F99</f>
        <v>7.2717735457172056E-2</v>
      </c>
      <c r="H148" s="62">
        <f t="shared" ref="H148:H150" si="59">F105</f>
        <v>0.61750422747269273</v>
      </c>
      <c r="I148" s="60">
        <f t="shared" ref="I148:I150" si="60">F110</f>
        <v>0.33321586590217162</v>
      </c>
      <c r="J148" s="61">
        <f t="shared" ref="J148:J150" si="61">F115</f>
        <v>0.10472943388074786</v>
      </c>
      <c r="K148" s="62">
        <v>0</v>
      </c>
      <c r="L148" s="60">
        <v>0</v>
      </c>
      <c r="M148" s="61">
        <v>0</v>
      </c>
    </row>
    <row r="149" spans="1:13" ht="15" hidden="1" customHeight="1" outlineLevel="1" x14ac:dyDescent="0.25">
      <c r="A149" s="54">
        <v>4.2</v>
      </c>
      <c r="B149" s="63">
        <f t="shared" ref="B149:B150" si="62">F56</f>
        <v>0.11326863319628724</v>
      </c>
      <c r="C149" s="64">
        <f t="shared" ref="C149:C150" si="63">F61</f>
        <v>7.9504136105224749E-2</v>
      </c>
      <c r="D149" s="66">
        <f t="shared" ref="D149:D150" si="64">F66</f>
        <v>8.8983047321118211E-2</v>
      </c>
      <c r="E149" s="91">
        <f t="shared" si="56"/>
        <v>0.15705578941099324</v>
      </c>
      <c r="F149" s="64">
        <f t="shared" si="57"/>
        <v>0.63698557174475712</v>
      </c>
      <c r="G149" s="66">
        <f t="shared" si="58"/>
        <v>0.20498544195438356</v>
      </c>
      <c r="H149" s="70">
        <f t="shared" si="59"/>
        <v>8.5630703615474105E-2</v>
      </c>
      <c r="I149" s="68">
        <f t="shared" si="60"/>
        <v>0.59172740155732806</v>
      </c>
      <c r="J149" s="69">
        <f t="shared" si="61"/>
        <v>0.25828499437449498</v>
      </c>
      <c r="K149" s="70">
        <v>0</v>
      </c>
      <c r="L149" s="68">
        <v>0</v>
      </c>
      <c r="M149" s="69">
        <v>0</v>
      </c>
    </row>
    <row r="150" spans="1:13" ht="15.75" hidden="1" customHeight="1" outlineLevel="1" thickBot="1" x14ac:dyDescent="0.3">
      <c r="A150" s="54">
        <v>4.3</v>
      </c>
      <c r="B150" s="71">
        <f t="shared" si="62"/>
        <v>0.37912877636182868</v>
      </c>
      <c r="C150" s="72">
        <f t="shared" si="63"/>
        <v>0.31124816977742953</v>
      </c>
      <c r="D150" s="87">
        <f t="shared" si="64"/>
        <v>0.58763109727856044</v>
      </c>
      <c r="E150" s="92">
        <f t="shared" si="56"/>
        <v>0.24931052532870668</v>
      </c>
      <c r="F150" s="72">
        <f t="shared" si="57"/>
        <v>0.25828499437449504</v>
      </c>
      <c r="G150" s="87">
        <f t="shared" si="58"/>
        <v>0.7222968225884443</v>
      </c>
      <c r="H150" s="80">
        <f t="shared" si="59"/>
        <v>0.29686506891183312</v>
      </c>
      <c r="I150" s="78">
        <f t="shared" si="60"/>
        <v>7.505673254050034E-2</v>
      </c>
      <c r="J150" s="79">
        <f t="shared" si="61"/>
        <v>0.63698557174475712</v>
      </c>
      <c r="K150" s="80">
        <v>0</v>
      </c>
      <c r="L150" s="78">
        <v>0</v>
      </c>
      <c r="M150" s="79">
        <v>0</v>
      </c>
    </row>
    <row r="151" spans="1:13" ht="15" hidden="1" customHeight="1" outlineLevel="1" x14ac:dyDescent="0.25"/>
    <row r="152" spans="1:13" collapsed="1" x14ac:dyDescent="0.25">
      <c r="A152" s="98" t="s">
        <v>13</v>
      </c>
      <c r="B152" s="98"/>
      <c r="C152" s="98"/>
      <c r="D152" s="98"/>
      <c r="E152" s="98"/>
      <c r="F152" s="98"/>
      <c r="G152" s="98"/>
      <c r="H152" s="98"/>
      <c r="I152" s="98"/>
      <c r="J152" s="98"/>
      <c r="K152" s="98"/>
      <c r="L152" s="98"/>
      <c r="M152" s="98"/>
    </row>
    <row r="153" spans="1:13" ht="15.75" thickBot="1" x14ac:dyDescent="0.3">
      <c r="A153" s="3"/>
      <c r="B153" s="34">
        <v>1.1000000000000001</v>
      </c>
      <c r="C153" s="34">
        <v>1.2</v>
      </c>
      <c r="D153" s="34">
        <v>1.3</v>
      </c>
      <c r="E153" s="34">
        <v>2.1</v>
      </c>
      <c r="F153" s="34">
        <v>2.2000000000000002</v>
      </c>
      <c r="G153" s="34">
        <v>2.2999999999999998</v>
      </c>
      <c r="H153" s="35">
        <v>3.1</v>
      </c>
      <c r="I153" s="35">
        <v>3.2</v>
      </c>
      <c r="J153" s="35">
        <v>3.3</v>
      </c>
      <c r="K153" s="35">
        <v>4.0999999999999996</v>
      </c>
      <c r="L153" s="35">
        <v>4.2</v>
      </c>
      <c r="M153" s="35">
        <v>4.3</v>
      </c>
    </row>
    <row r="154" spans="1:13" x14ac:dyDescent="0.25">
      <c r="A154" s="36">
        <v>1.1000000000000001</v>
      </c>
      <c r="B154" s="4">
        <v>0</v>
      </c>
      <c r="C154" s="22">
        <v>0</v>
      </c>
      <c r="D154" s="43">
        <v>0</v>
      </c>
      <c r="E154" s="4">
        <v>0</v>
      </c>
      <c r="F154" s="22">
        <v>0</v>
      </c>
      <c r="G154" s="5">
        <v>0</v>
      </c>
      <c r="H154" s="45">
        <v>0</v>
      </c>
      <c r="I154" s="27">
        <v>0</v>
      </c>
      <c r="J154" s="28">
        <v>0</v>
      </c>
      <c r="K154" s="26">
        <f t="array" ref="K154:M156">K139:M141*E15</f>
        <v>0.24263692173195622</v>
      </c>
      <c r="L154" s="27">
        <v>0.30899564363286419</v>
      </c>
      <c r="M154" s="28">
        <v>0.2969613312124974</v>
      </c>
    </row>
    <row r="155" spans="1:13" x14ac:dyDescent="0.25">
      <c r="A155" s="36">
        <v>1.2</v>
      </c>
      <c r="B155" s="6">
        <v>0</v>
      </c>
      <c r="C155" s="1">
        <v>0</v>
      </c>
      <c r="D155" s="18">
        <v>0</v>
      </c>
      <c r="E155" s="6">
        <v>0</v>
      </c>
      <c r="F155" s="1">
        <v>0</v>
      </c>
      <c r="G155" s="7">
        <v>0</v>
      </c>
      <c r="H155" s="24">
        <v>0</v>
      </c>
      <c r="I155" s="17">
        <v>0</v>
      </c>
      <c r="J155" s="30">
        <v>0</v>
      </c>
      <c r="K155" s="29">
        <v>0.66941686944898782</v>
      </c>
      <c r="L155" s="17">
        <v>0.58155206685161598</v>
      </c>
      <c r="M155" s="30">
        <v>0.53961455022107463</v>
      </c>
    </row>
    <row r="156" spans="1:13" ht="15.75" thickBot="1" x14ac:dyDescent="0.3">
      <c r="A156" s="36">
        <v>1.3</v>
      </c>
      <c r="B156" s="8">
        <v>0</v>
      </c>
      <c r="C156" s="23">
        <v>0</v>
      </c>
      <c r="D156" s="44">
        <v>0</v>
      </c>
      <c r="E156" s="10">
        <v>0</v>
      </c>
      <c r="F156" s="20">
        <v>0</v>
      </c>
      <c r="G156" s="11">
        <v>0</v>
      </c>
      <c r="H156" s="46">
        <v>0</v>
      </c>
      <c r="I156" s="32">
        <v>0</v>
      </c>
      <c r="J156" s="33">
        <v>0</v>
      </c>
      <c r="K156" s="31">
        <v>8.7946208819056029E-2</v>
      </c>
      <c r="L156" s="32">
        <v>0.10945228951551982</v>
      </c>
      <c r="M156" s="33">
        <v>0.16342411856642791</v>
      </c>
    </row>
    <row r="157" spans="1:13" x14ac:dyDescent="0.25">
      <c r="A157" s="36">
        <v>2.1</v>
      </c>
      <c r="B157" s="39">
        <f t="array" ref="B157:D159">B142:D144*B16</f>
        <v>0.13141112221563286</v>
      </c>
      <c r="C157" s="21">
        <v>0.15518958024180762</v>
      </c>
      <c r="D157" s="47">
        <v>0.15964730305685867</v>
      </c>
      <c r="E157" s="4">
        <v>0</v>
      </c>
      <c r="F157" s="22">
        <v>0</v>
      </c>
      <c r="G157" s="5">
        <v>0</v>
      </c>
      <c r="H157" s="45">
        <v>0</v>
      </c>
      <c r="I157" s="27">
        <v>0</v>
      </c>
      <c r="J157" s="28">
        <v>0</v>
      </c>
      <c r="K157" s="26">
        <v>0</v>
      </c>
      <c r="L157" s="27">
        <v>0</v>
      </c>
      <c r="M157" s="28">
        <v>0</v>
      </c>
    </row>
    <row r="158" spans="1:13" x14ac:dyDescent="0.25">
      <c r="A158" s="36">
        <v>2.2000000000000002</v>
      </c>
      <c r="B158" s="39">
        <v>9.8151071141256818E-2</v>
      </c>
      <c r="C158" s="21">
        <v>0.12317405146517436</v>
      </c>
      <c r="D158" s="47">
        <v>0.41839429559492208</v>
      </c>
      <c r="E158" s="6">
        <v>0</v>
      </c>
      <c r="F158" s="1">
        <v>0</v>
      </c>
      <c r="G158" s="7">
        <v>0</v>
      </c>
      <c r="H158" s="24">
        <v>0</v>
      </c>
      <c r="I158" s="17">
        <v>0</v>
      </c>
      <c r="J158" s="30">
        <v>0</v>
      </c>
      <c r="K158" s="29">
        <v>0</v>
      </c>
      <c r="L158" s="17">
        <v>0</v>
      </c>
      <c r="M158" s="30">
        <v>0</v>
      </c>
    </row>
    <row r="159" spans="1:13" ht="15.75" thickBot="1" x14ac:dyDescent="0.3">
      <c r="A159" s="36">
        <v>2.2999999999999998</v>
      </c>
      <c r="B159" s="41">
        <v>0.43985467609209822</v>
      </c>
      <c r="C159" s="42">
        <v>0.39105323774200579</v>
      </c>
      <c r="D159" s="48">
        <v>9.13752707972071E-2</v>
      </c>
      <c r="E159" s="8">
        <v>0</v>
      </c>
      <c r="F159" s="23">
        <v>0</v>
      </c>
      <c r="G159" s="9">
        <v>0</v>
      </c>
      <c r="H159" s="46">
        <v>0</v>
      </c>
      <c r="I159" s="32">
        <v>0</v>
      </c>
      <c r="J159" s="33">
        <v>0</v>
      </c>
      <c r="K159" s="31">
        <v>0</v>
      </c>
      <c r="L159" s="32">
        <v>0</v>
      </c>
      <c r="M159" s="33">
        <v>0</v>
      </c>
    </row>
    <row r="160" spans="1:13" x14ac:dyDescent="0.25">
      <c r="A160" s="36">
        <v>3.1</v>
      </c>
      <c r="B160" s="4">
        <f t="array" ref="B160:D162">B145:D147*B17</f>
        <v>1.2281506796188038E-2</v>
      </c>
      <c r="C160" s="22">
        <v>1.4744737285872406E-2</v>
      </c>
      <c r="D160" s="5">
        <v>1.1526878662089061E-2</v>
      </c>
      <c r="E160" s="25">
        <f t="array" ref="E160:G162">E145:G147*C17</f>
        <v>5.9939524901880391E-2</v>
      </c>
      <c r="F160" s="21">
        <v>7.0120123734751391E-2</v>
      </c>
      <c r="G160" s="40">
        <v>5.7644064377842003E-2</v>
      </c>
      <c r="H160" s="26">
        <v>0</v>
      </c>
      <c r="I160" s="27">
        <v>0</v>
      </c>
      <c r="J160" s="28">
        <v>0</v>
      </c>
      <c r="K160" s="26">
        <v>0</v>
      </c>
      <c r="L160" s="27">
        <v>0</v>
      </c>
      <c r="M160" s="28">
        <v>0</v>
      </c>
    </row>
    <row r="161" spans="1:13" x14ac:dyDescent="0.25">
      <c r="A161" s="36">
        <v>3.2</v>
      </c>
      <c r="B161" s="6">
        <v>2.9243515212035227E-2</v>
      </c>
      <c r="C161" s="1">
        <v>3.0670289503493431E-2</v>
      </c>
      <c r="D161" s="7">
        <v>2.6751515642180999E-2</v>
      </c>
      <c r="E161" s="25">
        <v>0.23246213790534861</v>
      </c>
      <c r="F161" s="21">
        <v>0.17576653575944515</v>
      </c>
      <c r="G161" s="40">
        <v>0.20311747090051646</v>
      </c>
      <c r="H161" s="29">
        <v>0</v>
      </c>
      <c r="I161" s="17">
        <v>0</v>
      </c>
      <c r="J161" s="30">
        <v>0</v>
      </c>
      <c r="K161" s="29">
        <v>0</v>
      </c>
      <c r="L161" s="17">
        <v>0</v>
      </c>
      <c r="M161" s="30">
        <v>0</v>
      </c>
    </row>
    <row r="162" spans="1:13" ht="15.75" thickBot="1" x14ac:dyDescent="0.3">
      <c r="A162" s="36">
        <v>3.3</v>
      </c>
      <c r="B162" s="10">
        <v>4.6421186810832765E-2</v>
      </c>
      <c r="C162" s="20">
        <v>4.2531182029690195E-2</v>
      </c>
      <c r="D162" s="11">
        <v>4.9667814514785968E-2</v>
      </c>
      <c r="E162" s="25">
        <v>0.54093167052610447</v>
      </c>
      <c r="F162" s="21">
        <v>0.58744667383913685</v>
      </c>
      <c r="G162" s="40">
        <v>0.57257179805497482</v>
      </c>
      <c r="H162" s="31">
        <v>0</v>
      </c>
      <c r="I162" s="32">
        <v>0</v>
      </c>
      <c r="J162" s="33">
        <v>0</v>
      </c>
      <c r="K162" s="31">
        <v>0</v>
      </c>
      <c r="L162" s="32">
        <v>0</v>
      </c>
      <c r="M162" s="33">
        <v>0</v>
      </c>
    </row>
    <row r="163" spans="1:13" x14ac:dyDescent="0.25">
      <c r="A163" s="36">
        <v>4.0999999999999996</v>
      </c>
      <c r="B163" s="4">
        <f t="array" ref="B163:D165">B148:D150*B18</f>
        <v>0.12316313000798565</v>
      </c>
      <c r="C163" s="22">
        <v>0.14782598507292521</v>
      </c>
      <c r="D163" s="5">
        <v>7.8465348485989475E-2</v>
      </c>
      <c r="E163" s="37">
        <f t="array" ref="E163:G165">E148:G150*C18</f>
        <v>9.8938947543383352E-2</v>
      </c>
      <c r="F163" s="22">
        <v>1.7454905646791311E-2</v>
      </c>
      <c r="G163" s="5">
        <v>1.2119622576195341E-2</v>
      </c>
      <c r="H163" s="26">
        <f t="array" ref="H163:J165">H148:J150*D18</f>
        <v>0.61750422747269273</v>
      </c>
      <c r="I163" s="27">
        <v>0.33321586590217162</v>
      </c>
      <c r="J163" s="28">
        <v>0.10472943388074786</v>
      </c>
      <c r="K163" s="26">
        <v>0</v>
      </c>
      <c r="L163" s="27">
        <v>0</v>
      </c>
      <c r="M163" s="28">
        <v>0</v>
      </c>
    </row>
    <row r="164" spans="1:13" x14ac:dyDescent="0.25">
      <c r="A164" s="36">
        <v>4.2</v>
      </c>
      <c r="B164" s="6">
        <v>2.7483152487533205E-2</v>
      </c>
      <c r="C164" s="1">
        <v>1.9290638849530212E-2</v>
      </c>
      <c r="D164" s="7">
        <v>2.1590572688325118E-2</v>
      </c>
      <c r="E164" s="19">
        <v>2.6175964901832206E-2</v>
      </c>
      <c r="F164" s="1">
        <v>0.10616426195745951</v>
      </c>
      <c r="G164" s="7">
        <v>3.4164240325730594E-2</v>
      </c>
      <c r="H164" s="29">
        <v>8.5630703615474105E-2</v>
      </c>
      <c r="I164" s="17">
        <v>0.59172740155732806</v>
      </c>
      <c r="J164" s="30">
        <v>0.25828499437449498</v>
      </c>
      <c r="K164" s="29">
        <v>0</v>
      </c>
      <c r="L164" s="17">
        <v>0</v>
      </c>
      <c r="M164" s="30">
        <v>0</v>
      </c>
    </row>
    <row r="165" spans="1:13" ht="15.75" thickBot="1" x14ac:dyDescent="0.3">
      <c r="A165" s="36">
        <v>4.3</v>
      </c>
      <c r="B165" s="8">
        <v>9.1990639236437355E-2</v>
      </c>
      <c r="C165" s="23">
        <v>7.5520297809500786E-2</v>
      </c>
      <c r="D165" s="9">
        <v>0.14258100055764161</v>
      </c>
      <c r="E165" s="38">
        <v>4.1551754221451111E-2</v>
      </c>
      <c r="F165" s="23">
        <v>4.3047499062415839E-2</v>
      </c>
      <c r="G165" s="9">
        <v>0.12038280376474071</v>
      </c>
      <c r="H165" s="31">
        <v>0.29686506891183312</v>
      </c>
      <c r="I165" s="32">
        <v>7.505673254050034E-2</v>
      </c>
      <c r="J165" s="33">
        <v>0.63698557174475712</v>
      </c>
      <c r="K165" s="31">
        <v>0</v>
      </c>
      <c r="L165" s="32">
        <v>0</v>
      </c>
      <c r="M165" s="33">
        <v>0</v>
      </c>
    </row>
    <row r="167" spans="1:13" x14ac:dyDescent="0.25">
      <c r="A167" s="14" t="s">
        <v>15</v>
      </c>
      <c r="B167" s="2">
        <f>SUM(B154:B165)</f>
        <v>1</v>
      </c>
      <c r="C167" s="2">
        <f t="shared" ref="C167:M167" si="65">SUM(C154:C165)</f>
        <v>0.99999999999999989</v>
      </c>
      <c r="D167" s="2">
        <f t="shared" si="65"/>
        <v>1</v>
      </c>
      <c r="E167" s="2">
        <f t="shared" si="65"/>
        <v>1.0000000000000002</v>
      </c>
      <c r="F167" s="2">
        <f t="shared" si="65"/>
        <v>1</v>
      </c>
      <c r="G167" s="2">
        <f t="shared" si="65"/>
        <v>1</v>
      </c>
      <c r="H167" s="2">
        <f t="shared" si="65"/>
        <v>1</v>
      </c>
      <c r="I167" s="2">
        <f t="shared" si="65"/>
        <v>1</v>
      </c>
      <c r="J167" s="2">
        <f t="shared" si="65"/>
        <v>1</v>
      </c>
      <c r="K167" s="2">
        <f t="shared" si="65"/>
        <v>1.0000000000000002</v>
      </c>
      <c r="L167" s="2">
        <f t="shared" si="65"/>
        <v>0.99999999999999989</v>
      </c>
      <c r="M167" s="2">
        <f t="shared" si="65"/>
        <v>0.99999999999999989</v>
      </c>
    </row>
    <row r="169" spans="1:13" x14ac:dyDescent="0.25">
      <c r="A169" s="98" t="s">
        <v>16</v>
      </c>
      <c r="B169" s="98"/>
      <c r="C169" s="98"/>
      <c r="D169" s="98"/>
      <c r="E169" s="98"/>
      <c r="F169" s="98"/>
      <c r="G169" s="98"/>
      <c r="H169" s="98"/>
      <c r="I169" s="98"/>
      <c r="J169" s="98"/>
      <c r="K169" s="98"/>
      <c r="L169" s="98"/>
      <c r="M169" s="98"/>
    </row>
    <row r="170" spans="1:13" ht="15.75" thickBot="1" x14ac:dyDescent="0.3">
      <c r="A170" s="51"/>
      <c r="B170" s="52">
        <v>1.1000000000000001</v>
      </c>
      <c r="C170" s="52">
        <v>1.2</v>
      </c>
      <c r="D170" s="52">
        <v>1.3</v>
      </c>
      <c r="E170" s="52">
        <v>2.1</v>
      </c>
      <c r="F170" s="52">
        <v>2.2000000000000002</v>
      </c>
      <c r="G170" s="52">
        <v>2.2999999999999998</v>
      </c>
      <c r="H170" s="53">
        <v>3.1</v>
      </c>
      <c r="I170" s="53">
        <v>3.2</v>
      </c>
      <c r="J170" s="53">
        <v>3.3</v>
      </c>
      <c r="K170" s="53">
        <v>4.0999999999999996</v>
      </c>
      <c r="L170" s="53">
        <v>4.2</v>
      </c>
      <c r="M170" s="53">
        <v>4.3</v>
      </c>
    </row>
    <row r="171" spans="1:13" x14ac:dyDescent="0.25">
      <c r="A171" s="54">
        <v>1.1000000000000001</v>
      </c>
      <c r="B171" s="55">
        <f t="array" ref="B171:M182">МСТЕПЕНЬ(B154:M165,100)</f>
        <v>8.5837830883243982E-2</v>
      </c>
      <c r="C171" s="56">
        <v>8.5837830883243968E-2</v>
      </c>
      <c r="D171" s="57">
        <v>8.5837830883243968E-2</v>
      </c>
      <c r="E171" s="55">
        <v>8.5837718639109328E-2</v>
      </c>
      <c r="F171" s="56">
        <v>8.5837718639109328E-2</v>
      </c>
      <c r="G171" s="58">
        <v>8.5837718639109314E-2</v>
      </c>
      <c r="H171" s="59">
        <v>8.5837848811565864E-2</v>
      </c>
      <c r="I171" s="60">
        <v>8.5837848811565878E-2</v>
      </c>
      <c r="J171" s="61">
        <v>8.5837848811565837E-2</v>
      </c>
      <c r="K171" s="62">
        <v>8.5837713322231723E-2</v>
      </c>
      <c r="L171" s="60">
        <v>8.583771332223171E-2</v>
      </c>
      <c r="M171" s="61">
        <v>8.583771332223171E-2</v>
      </c>
    </row>
    <row r="172" spans="1:13" x14ac:dyDescent="0.25">
      <c r="A172" s="54">
        <v>1.2</v>
      </c>
      <c r="B172" s="63">
        <v>0.17740136967697712</v>
      </c>
      <c r="C172" s="64">
        <v>0.17740136967697703</v>
      </c>
      <c r="D172" s="65">
        <v>0.17740136967697709</v>
      </c>
      <c r="E172" s="63">
        <v>0.17740113645795755</v>
      </c>
      <c r="F172" s="64">
        <v>0.17740113645795752</v>
      </c>
      <c r="G172" s="66">
        <v>0.17740113645795744</v>
      </c>
      <c r="H172" s="67">
        <v>0.17740140692545348</v>
      </c>
      <c r="I172" s="68">
        <v>0.1774014069254535</v>
      </c>
      <c r="J172" s="69">
        <v>0.17740140692545348</v>
      </c>
      <c r="K172" s="70">
        <v>0.17740112539452532</v>
      </c>
      <c r="L172" s="68">
        <v>0.17740112539452529</v>
      </c>
      <c r="M172" s="69">
        <v>0.17740112539452529</v>
      </c>
    </row>
    <row r="173" spans="1:13" ht="15.75" thickBot="1" x14ac:dyDescent="0.3">
      <c r="A173" s="54">
        <v>1.3</v>
      </c>
      <c r="B173" s="71">
        <v>3.8400966104168273E-2</v>
      </c>
      <c r="C173" s="72">
        <v>3.8400966104168266E-2</v>
      </c>
      <c r="D173" s="73">
        <v>3.8400966104168273E-2</v>
      </c>
      <c r="E173" s="74">
        <v>3.8400915862740984E-2</v>
      </c>
      <c r="F173" s="75">
        <v>3.8400915862740977E-2</v>
      </c>
      <c r="G173" s="76">
        <v>3.840091586274097E-2</v>
      </c>
      <c r="H173" s="77">
        <v>3.8400974129096904E-2</v>
      </c>
      <c r="I173" s="78">
        <v>3.8400974129096904E-2</v>
      </c>
      <c r="J173" s="79">
        <v>3.8400974129096904E-2</v>
      </c>
      <c r="K173" s="80">
        <v>3.8400913483556245E-2</v>
      </c>
      <c r="L173" s="78">
        <v>3.8400913483556245E-2</v>
      </c>
      <c r="M173" s="79">
        <v>3.8400913483556239E-2</v>
      </c>
    </row>
    <row r="174" spans="1:13" x14ac:dyDescent="0.25">
      <c r="A174" s="54">
        <v>2.1</v>
      </c>
      <c r="B174" s="81">
        <v>4.4941438693068436E-2</v>
      </c>
      <c r="C174" s="82">
        <v>4.4941438693068415E-2</v>
      </c>
      <c r="D174" s="83">
        <v>4.4941438693068436E-2</v>
      </c>
      <c r="E174" s="55">
        <v>4.4941506582503288E-2</v>
      </c>
      <c r="F174" s="56">
        <v>4.4941506582503288E-2</v>
      </c>
      <c r="G174" s="58">
        <v>4.4941506582503274E-2</v>
      </c>
      <c r="H174" s="59">
        <v>4.4941427812142637E-2</v>
      </c>
      <c r="I174" s="60">
        <v>4.4941427812142637E-2</v>
      </c>
      <c r="J174" s="61">
        <v>4.494142781214263E-2</v>
      </c>
      <c r="K174" s="62">
        <v>4.4941509870437456E-2</v>
      </c>
      <c r="L174" s="60">
        <v>4.4941509870437456E-2</v>
      </c>
      <c r="M174" s="61">
        <v>4.4941509870437449E-2</v>
      </c>
    </row>
    <row r="175" spans="1:13" x14ac:dyDescent="0.25">
      <c r="A175" s="54">
        <v>2.2000000000000002</v>
      </c>
      <c r="B175" s="81">
        <v>4.6343002003372352E-2</v>
      </c>
      <c r="C175" s="82">
        <v>4.6343002003372345E-2</v>
      </c>
      <c r="D175" s="83">
        <v>4.6343002003372352E-2</v>
      </c>
      <c r="E175" s="63">
        <v>4.6343071964394585E-2</v>
      </c>
      <c r="F175" s="64">
        <v>4.6343071964394578E-2</v>
      </c>
      <c r="G175" s="66">
        <v>4.6343071964394571E-2</v>
      </c>
      <c r="H175" s="67">
        <v>4.6342990789503824E-2</v>
      </c>
      <c r="I175" s="68">
        <v>4.6342990789503824E-2</v>
      </c>
      <c r="J175" s="69">
        <v>4.6342990789503817E-2</v>
      </c>
      <c r="K175" s="70">
        <v>4.6343075352848942E-2</v>
      </c>
      <c r="L175" s="68">
        <v>4.6343075352848928E-2</v>
      </c>
      <c r="M175" s="69">
        <v>4.6343075352848928E-2</v>
      </c>
    </row>
    <row r="176" spans="1:13" ht="15.75" thickBot="1" x14ac:dyDescent="0.3">
      <c r="A176" s="54">
        <v>2.2999999999999998</v>
      </c>
      <c r="B176" s="84">
        <v>0.11063829792286138</v>
      </c>
      <c r="C176" s="85">
        <v>0.11063829792286137</v>
      </c>
      <c r="D176" s="86">
        <v>0.11063829792286139</v>
      </c>
      <c r="E176" s="71">
        <v>0.1106384650591079</v>
      </c>
      <c r="F176" s="72">
        <v>0.11063846505910786</v>
      </c>
      <c r="G176" s="87">
        <v>0.11063846505910785</v>
      </c>
      <c r="H176" s="77">
        <v>0.11063827113565294</v>
      </c>
      <c r="I176" s="78">
        <v>0.11063827113565294</v>
      </c>
      <c r="J176" s="79">
        <v>0.1106382711356529</v>
      </c>
      <c r="K176" s="80">
        <v>0.11063847315356229</v>
      </c>
      <c r="L176" s="78">
        <v>0.11063847315356228</v>
      </c>
      <c r="M176" s="79">
        <v>0.11063847315356226</v>
      </c>
    </row>
    <row r="177" spans="1:13" x14ac:dyDescent="0.25">
      <c r="A177" s="54">
        <v>3.1</v>
      </c>
      <c r="B177" s="55">
        <v>1.64335983150629E-2</v>
      </c>
      <c r="C177" s="56">
        <v>1.6433598315062897E-2</v>
      </c>
      <c r="D177" s="58">
        <v>1.64335983150629E-2</v>
      </c>
      <c r="E177" s="88">
        <v>1.6433583086599188E-2</v>
      </c>
      <c r="F177" s="82">
        <v>1.6433583086599181E-2</v>
      </c>
      <c r="G177" s="89">
        <v>1.6433583086599181E-2</v>
      </c>
      <c r="H177" s="62">
        <v>1.643360073637528E-2</v>
      </c>
      <c r="I177" s="60">
        <v>1.6433600736375283E-2</v>
      </c>
      <c r="J177" s="61">
        <v>1.6433600736375276E-2</v>
      </c>
      <c r="K177" s="62">
        <v>1.6433582335968644E-2</v>
      </c>
      <c r="L177" s="60">
        <v>1.643358233596864E-2</v>
      </c>
      <c r="M177" s="61">
        <v>1.6433582335968637E-2</v>
      </c>
    </row>
    <row r="178" spans="1:13" x14ac:dyDescent="0.25">
      <c r="A178" s="54">
        <v>3.2</v>
      </c>
      <c r="B178" s="63">
        <v>5.0043791114761677E-2</v>
      </c>
      <c r="C178" s="64">
        <v>5.0043791114761663E-2</v>
      </c>
      <c r="D178" s="66">
        <v>5.0043791114761683E-2</v>
      </c>
      <c r="E178" s="88">
        <v>5.0043733209698162E-2</v>
      </c>
      <c r="F178" s="82">
        <v>5.0043733209698155E-2</v>
      </c>
      <c r="G178" s="89">
        <v>5.0043733209698155E-2</v>
      </c>
      <c r="H178" s="70">
        <v>5.0043800330682654E-2</v>
      </c>
      <c r="I178" s="68">
        <v>5.0043800330682654E-2</v>
      </c>
      <c r="J178" s="69">
        <v>5.004380033068264E-2</v>
      </c>
      <c r="K178" s="70">
        <v>5.0043730361721599E-2</v>
      </c>
      <c r="L178" s="68">
        <v>5.0043730361721599E-2</v>
      </c>
      <c r="M178" s="69">
        <v>5.0043730361721592E-2</v>
      </c>
    </row>
    <row r="179" spans="1:13" ht="15.75" thickBot="1" x14ac:dyDescent="0.3">
      <c r="A179" s="54">
        <v>3.3</v>
      </c>
      <c r="B179" s="74">
        <v>0.12831989851935305</v>
      </c>
      <c r="C179" s="75">
        <v>0.12831989851935302</v>
      </c>
      <c r="D179" s="76">
        <v>0.12831989851935305</v>
      </c>
      <c r="E179" s="88">
        <v>0.12831971888274096</v>
      </c>
      <c r="F179" s="82">
        <v>0.12831971888274091</v>
      </c>
      <c r="G179" s="89">
        <v>0.12831971888274088</v>
      </c>
      <c r="H179" s="80">
        <v>0.12831992712921403</v>
      </c>
      <c r="I179" s="78">
        <v>0.12831992712921406</v>
      </c>
      <c r="J179" s="79">
        <v>0.12831992712921403</v>
      </c>
      <c r="K179" s="80">
        <v>0.12831971006075948</v>
      </c>
      <c r="L179" s="78">
        <v>0.12831971006075946</v>
      </c>
      <c r="M179" s="79">
        <v>0.12831971006075946</v>
      </c>
    </row>
    <row r="180" spans="1:13" x14ac:dyDescent="0.25">
      <c r="A180" s="54">
        <v>4.0999999999999996</v>
      </c>
      <c r="B180" s="55">
        <v>8.6667976951780648E-2</v>
      </c>
      <c r="C180" s="56">
        <v>8.6667976951780606E-2</v>
      </c>
      <c r="D180" s="58">
        <v>8.666797695178062E-2</v>
      </c>
      <c r="E180" s="90">
        <v>8.666808041817825E-2</v>
      </c>
      <c r="F180" s="56">
        <v>8.6668080418178223E-2</v>
      </c>
      <c r="G180" s="58">
        <v>8.6668080418178223E-2</v>
      </c>
      <c r="H180" s="62">
        <v>8.6667960462658442E-2</v>
      </c>
      <c r="I180" s="60">
        <v>8.6667960462658442E-2</v>
      </c>
      <c r="J180" s="61">
        <v>8.6667960462658428E-2</v>
      </c>
      <c r="K180" s="62">
        <v>8.6668085382597224E-2</v>
      </c>
      <c r="L180" s="60">
        <v>8.6668085382597224E-2</v>
      </c>
      <c r="M180" s="61">
        <v>8.666808538259721E-2</v>
      </c>
    </row>
    <row r="181" spans="1:13" x14ac:dyDescent="0.25">
      <c r="A181" s="54">
        <v>4.2</v>
      </c>
      <c r="B181" s="63">
        <v>8.0649136223244128E-2</v>
      </c>
      <c r="C181" s="64">
        <v>8.0649136223244114E-2</v>
      </c>
      <c r="D181" s="66">
        <v>8.0649136223244128E-2</v>
      </c>
      <c r="E181" s="91">
        <v>8.0649223547693716E-2</v>
      </c>
      <c r="F181" s="64">
        <v>8.0649223547693688E-2</v>
      </c>
      <c r="G181" s="66">
        <v>8.064922354769366E-2</v>
      </c>
      <c r="H181" s="70">
        <v>8.0649122387174699E-2</v>
      </c>
      <c r="I181" s="68">
        <v>8.0649122387174699E-2</v>
      </c>
      <c r="J181" s="69">
        <v>8.0649122387174671E-2</v>
      </c>
      <c r="K181" s="70">
        <v>8.0649227703568846E-2</v>
      </c>
      <c r="L181" s="68">
        <v>8.0649227703568832E-2</v>
      </c>
      <c r="M181" s="69">
        <v>8.0649227703568832E-2</v>
      </c>
    </row>
    <row r="182" spans="1:13" ht="15.75" thickBot="1" x14ac:dyDescent="0.3">
      <c r="A182" s="54">
        <v>4.3</v>
      </c>
      <c r="B182" s="71">
        <v>0.13432269359210716</v>
      </c>
      <c r="C182" s="72">
        <v>0.13432269359210713</v>
      </c>
      <c r="D182" s="87">
        <v>0.13432269359210716</v>
      </c>
      <c r="E182" s="92">
        <v>0.13432284628927721</v>
      </c>
      <c r="F182" s="72">
        <v>0.13432284628927721</v>
      </c>
      <c r="G182" s="87">
        <v>0.13432284628927718</v>
      </c>
      <c r="H182" s="80">
        <v>0.13432266935048018</v>
      </c>
      <c r="I182" s="78">
        <v>0.13432266935048018</v>
      </c>
      <c r="J182" s="79">
        <v>0.13432266935048015</v>
      </c>
      <c r="K182" s="80">
        <v>0.13432285357822335</v>
      </c>
      <c r="L182" s="78">
        <v>0.13432285357822332</v>
      </c>
      <c r="M182" s="79">
        <v>0.13432285357822332</v>
      </c>
    </row>
    <row r="184" spans="1:13" ht="15" customHeight="1" x14ac:dyDescent="0.25">
      <c r="A184" s="99" t="s">
        <v>17</v>
      </c>
      <c r="B184" s="99"/>
      <c r="C184" s="99"/>
      <c r="D184" s="99"/>
      <c r="E184" s="99"/>
      <c r="F184" s="99"/>
      <c r="G184" s="99"/>
      <c r="H184" s="2"/>
      <c r="I184" s="2"/>
      <c r="J184" s="2"/>
      <c r="K184" s="2"/>
      <c r="L184" s="2"/>
      <c r="M184" s="2"/>
    </row>
    <row r="185" spans="1:13" ht="15" customHeight="1" x14ac:dyDescent="0.25">
      <c r="A185" s="100" t="s">
        <v>18</v>
      </c>
      <c r="B185" s="100"/>
      <c r="C185" s="95" t="s">
        <v>19</v>
      </c>
      <c r="D185" s="95"/>
      <c r="E185" s="49">
        <f t="shared" ref="E185:E187" si="66">B171</f>
        <v>8.5837830883243982E-2</v>
      </c>
      <c r="F185" s="101">
        <f>SUM(E185:E187)</f>
        <v>0.30164016666438936</v>
      </c>
      <c r="G185" s="49">
        <f>E185/F$185</f>
        <v>0.28457029391164873</v>
      </c>
    </row>
    <row r="186" spans="1:13" ht="15" customHeight="1" x14ac:dyDescent="0.25">
      <c r="A186" s="100"/>
      <c r="B186" s="100"/>
      <c r="C186" s="97" t="s">
        <v>20</v>
      </c>
      <c r="D186" s="97"/>
      <c r="E186" s="93">
        <f t="shared" si="66"/>
        <v>0.17740136967697712</v>
      </c>
      <c r="F186" s="101"/>
      <c r="G186" s="93">
        <f t="shared" ref="G186:G187" si="67">E186/F$185</f>
        <v>0.58812250251259568</v>
      </c>
    </row>
    <row r="187" spans="1:13" ht="15" customHeight="1" x14ac:dyDescent="0.25">
      <c r="A187" s="100"/>
      <c r="B187" s="100"/>
      <c r="C187" s="95" t="s">
        <v>21</v>
      </c>
      <c r="D187" s="95"/>
      <c r="E187" s="49">
        <f t="shared" si="66"/>
        <v>3.8400966104168273E-2</v>
      </c>
      <c r="F187" s="101"/>
      <c r="G187" s="49">
        <f t="shared" si="67"/>
        <v>0.12730720357575562</v>
      </c>
    </row>
    <row r="188" spans="1:13" x14ac:dyDescent="0.25">
      <c r="A188" s="94" t="s">
        <v>25</v>
      </c>
      <c r="B188" s="94"/>
      <c r="C188" s="95" t="s">
        <v>22</v>
      </c>
      <c r="D188" s="95"/>
      <c r="E188" s="49">
        <f t="shared" ref="E188:E196" si="68">B174</f>
        <v>4.4941438693068436E-2</v>
      </c>
      <c r="F188" s="96">
        <f>SUM(E188:E190)</f>
        <v>0.20192273861930216</v>
      </c>
      <c r="G188" s="49">
        <f>E188/F$185</f>
        <v>0.14899023293231084</v>
      </c>
    </row>
    <row r="189" spans="1:13" x14ac:dyDescent="0.25">
      <c r="A189" s="94"/>
      <c r="B189" s="94"/>
      <c r="C189" s="95" t="s">
        <v>23</v>
      </c>
      <c r="D189" s="95"/>
      <c r="E189" s="49">
        <f t="shared" si="68"/>
        <v>4.6343002003372352E-2</v>
      </c>
      <c r="F189" s="96"/>
      <c r="G189" s="49">
        <f t="shared" ref="G189:G190" si="69">E189/F$185</f>
        <v>0.15363670732530282</v>
      </c>
    </row>
    <row r="190" spans="1:13" x14ac:dyDescent="0.25">
      <c r="A190" s="94"/>
      <c r="B190" s="94"/>
      <c r="C190" s="97" t="s">
        <v>24</v>
      </c>
      <c r="D190" s="97"/>
      <c r="E190" s="93">
        <f t="shared" si="68"/>
        <v>0.11063829792286138</v>
      </c>
      <c r="F190" s="96"/>
      <c r="G190" s="93">
        <f t="shared" si="69"/>
        <v>0.36678900938932207</v>
      </c>
    </row>
    <row r="191" spans="1:13" x14ac:dyDescent="0.25">
      <c r="A191" s="94" t="s">
        <v>26</v>
      </c>
      <c r="B191" s="94"/>
      <c r="C191" s="95" t="s">
        <v>27</v>
      </c>
      <c r="D191" s="95"/>
      <c r="E191" s="49">
        <f t="shared" si="68"/>
        <v>1.64335983150629E-2</v>
      </c>
      <c r="F191" s="96">
        <f>SUM(E191:E193)</f>
        <v>0.19479728794917761</v>
      </c>
      <c r="G191" s="49">
        <f>E191/F$185</f>
        <v>5.4480802397073452E-2</v>
      </c>
    </row>
    <row r="192" spans="1:13" x14ac:dyDescent="0.25">
      <c r="A192" s="94"/>
      <c r="B192" s="94"/>
      <c r="C192" s="95" t="s">
        <v>28</v>
      </c>
      <c r="D192" s="95"/>
      <c r="E192" s="49">
        <f t="shared" si="68"/>
        <v>5.0043791114761677E-2</v>
      </c>
      <c r="F192" s="96"/>
      <c r="G192" s="49">
        <f t="shared" ref="G192:G193" si="70">E192/F$185</f>
        <v>0.16590559429852511</v>
      </c>
    </row>
    <row r="193" spans="1:7" x14ac:dyDescent="0.25">
      <c r="A193" s="94"/>
      <c r="B193" s="94"/>
      <c r="C193" s="95" t="s">
        <v>29</v>
      </c>
      <c r="D193" s="95"/>
      <c r="E193" s="93">
        <f t="shared" si="68"/>
        <v>0.12831989851935305</v>
      </c>
      <c r="F193" s="96"/>
      <c r="G193" s="93">
        <f t="shared" si="70"/>
        <v>0.42540719937382954</v>
      </c>
    </row>
    <row r="194" spans="1:7" x14ac:dyDescent="0.25">
      <c r="A194" s="94" t="s">
        <v>30</v>
      </c>
      <c r="B194" s="94"/>
      <c r="C194" s="95" t="s">
        <v>31</v>
      </c>
      <c r="D194" s="95"/>
      <c r="E194" s="49">
        <f t="shared" si="68"/>
        <v>8.6667976951780648E-2</v>
      </c>
      <c r="F194" s="96">
        <f>SUM(E194:E196)</f>
        <v>0.30163980676713198</v>
      </c>
      <c r="G194" s="49">
        <f>E194/F$185</f>
        <v>0.28732240109192453</v>
      </c>
    </row>
    <row r="195" spans="1:7" x14ac:dyDescent="0.25">
      <c r="A195" s="94"/>
      <c r="B195" s="94"/>
      <c r="C195" s="95" t="s">
        <v>32</v>
      </c>
      <c r="D195" s="95"/>
      <c r="E195" s="49">
        <f t="shared" si="68"/>
        <v>8.0649136223244128E-2</v>
      </c>
      <c r="F195" s="96"/>
      <c r="G195" s="49">
        <f t="shared" ref="G195:G196" si="71">E195/F$185</f>
        <v>0.26736869003581976</v>
      </c>
    </row>
    <row r="196" spans="1:7" x14ac:dyDescent="0.25">
      <c r="A196" s="94"/>
      <c r="B196" s="94"/>
      <c r="C196" s="95" t="s">
        <v>33</v>
      </c>
      <c r="D196" s="95"/>
      <c r="E196" s="93">
        <f t="shared" si="68"/>
        <v>0.13432269359210716</v>
      </c>
      <c r="F196" s="96"/>
      <c r="G196" s="93">
        <f t="shared" si="71"/>
        <v>0.44530771573786182</v>
      </c>
    </row>
  </sheetData>
  <mergeCells count="34">
    <mergeCell ref="A1:F1"/>
    <mergeCell ref="A2:F2"/>
    <mergeCell ref="A8:F8"/>
    <mergeCell ref="A71:F71"/>
    <mergeCell ref="A103:F103"/>
    <mergeCell ref="A119:F119"/>
    <mergeCell ref="A136:M136"/>
    <mergeCell ref="A13:F13"/>
    <mergeCell ref="A20:F20"/>
    <mergeCell ref="A22:F22"/>
    <mergeCell ref="A152:M152"/>
    <mergeCell ref="A137:M137"/>
    <mergeCell ref="A169:M169"/>
    <mergeCell ref="A185:B187"/>
    <mergeCell ref="C185:D185"/>
    <mergeCell ref="C186:D186"/>
    <mergeCell ref="C187:D187"/>
    <mergeCell ref="F185:F187"/>
    <mergeCell ref="A184:G184"/>
    <mergeCell ref="A188:B190"/>
    <mergeCell ref="C188:D188"/>
    <mergeCell ref="F188:F190"/>
    <mergeCell ref="C189:D189"/>
    <mergeCell ref="C190:D190"/>
    <mergeCell ref="A191:B193"/>
    <mergeCell ref="C191:D191"/>
    <mergeCell ref="F191:F193"/>
    <mergeCell ref="C192:D192"/>
    <mergeCell ref="C193:D193"/>
    <mergeCell ref="A194:B196"/>
    <mergeCell ref="C194:D194"/>
    <mergeCell ref="F194:F196"/>
    <mergeCell ref="C195:D195"/>
    <mergeCell ref="C196:D196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Адаменко</dc:creator>
  <cp:lastModifiedBy>Игорь Адаменко</cp:lastModifiedBy>
  <dcterms:created xsi:type="dcterms:W3CDTF">2015-10-04T16:35:09Z</dcterms:created>
  <dcterms:modified xsi:type="dcterms:W3CDTF">2015-11-10T09:34:59Z</dcterms:modified>
</cp:coreProperties>
</file>